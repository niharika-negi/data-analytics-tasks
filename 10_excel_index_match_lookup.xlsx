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 MATCH" sheetId="1" state="visible" r:id="rId1"/>
    <sheet xmlns:r="http://schemas.openxmlformats.org/officeDocument/2006/relationships" name="Formula Guide" sheetId="2" state="visible" r:id="rId2"/>
    <sheet xmlns:r="http://schemas.openxmlformats.org/officeDocument/2006/relationships" name="Flexible Looku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E8DFF5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3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164" fontId="0" fillId="4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8" customWidth="1" min="2" max="2"/>
    <col width="14" customWidth="1" min="3" max="3"/>
    <col width="19" customWidth="1" min="4" max="4"/>
    <col width="38" customWidth="1" min="5" max="5"/>
    <col width="38" customWidth="1" min="6" max="6"/>
    <col width="38" customWidth="1" min="7" max="7"/>
    <col width="24" customWidth="1" min="8" max="8"/>
    <col width="24" customWidth="1" min="9" max="9"/>
    <col width="38" customWidth="1" min="10" max="10"/>
    <col width="38" customWidth="1" min="11" max="11"/>
  </cols>
  <sheetData>
    <row r="1">
      <c r="A1" s="1" t="inlineStr">
        <is>
          <t>Product ID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Stock</t>
        </is>
      </c>
      <c r="F1" s="1" t="inlineStr">
        <is>
          <t>INDEX Result</t>
        </is>
      </c>
      <c r="G1" s="1" t="inlineStr">
        <is>
          <t>INDEX Formula</t>
        </is>
      </c>
      <c r="H1" s="1" t="inlineStr">
        <is>
          <t>MATCH Result</t>
        </is>
      </c>
      <c r="I1" s="1" t="inlineStr">
        <is>
          <t>MATCH Formula</t>
        </is>
      </c>
      <c r="J1" s="1" t="inlineStr">
        <is>
          <t>INDEX+MATCH Result</t>
        </is>
      </c>
      <c r="K1" s="1" t="inlineStr">
        <is>
          <t>INDEX+MATCH Formula</t>
        </is>
      </c>
    </row>
    <row r="2">
      <c r="A2" s="2" t="inlineStr">
        <is>
          <t>P201</t>
        </is>
      </c>
      <c r="B2" s="2" t="inlineStr">
        <is>
          <t>Laptop</t>
        </is>
      </c>
      <c r="C2" s="2" t="inlineStr">
        <is>
          <t>Electronics</t>
        </is>
      </c>
      <c r="D2" s="3" t="n">
        <v>55000</v>
      </c>
      <c r="E2" s="2" t="n">
        <v>12</v>
      </c>
      <c r="F2" s="4">
        <f>INDEX($B$2:$B$7,MATCH(A2,$A$2:$A$7,0))</f>
        <v/>
      </c>
      <c r="G2" s="5">
        <f>INDEX($B$2:$B$7,MATCH(A2,$A$2:$A$7,0))</f>
        <v/>
      </c>
      <c r="H2" s="4">
        <f>MATCH(A2,$A$2:$A$7,0)</f>
        <v/>
      </c>
      <c r="I2" s="5">
        <f>MATCH(A2,$A$2:$A$7,0)</f>
        <v/>
      </c>
      <c r="J2" s="6">
        <f>INDEX($D$2:$D$7,MATCH(A2,$A$2:$A$7,0))</f>
        <v/>
      </c>
      <c r="K2" s="5">
        <f>INDEX($D$2:$D$7,MATCH(A2,$A$2:$A$7,0))</f>
        <v/>
      </c>
    </row>
    <row r="3">
      <c r="A3" s="2" t="inlineStr">
        <is>
          <t>P202</t>
        </is>
      </c>
      <c r="B3" s="2" t="inlineStr">
        <is>
          <t>Wireless Mouse</t>
        </is>
      </c>
      <c r="C3" s="2" t="inlineStr">
        <is>
          <t>Accessories</t>
        </is>
      </c>
      <c r="D3" s="3" t="n">
        <v>1200</v>
      </c>
      <c r="E3" s="2" t="n">
        <v>30</v>
      </c>
      <c r="F3" s="4">
        <f>INDEX($B$2:$B$7,MATCH(A3,$A$2:$A$7,0))</f>
        <v/>
      </c>
      <c r="G3" s="5">
        <f>INDEX($B$2:$B$7,MATCH(A3,$A$2:$A$7,0))</f>
        <v/>
      </c>
      <c r="H3" s="4">
        <f>MATCH(A3,$A$2:$A$7,0)</f>
        <v/>
      </c>
      <c r="I3" s="5">
        <f>MATCH(A3,$A$2:$A$7,0)</f>
        <v/>
      </c>
      <c r="J3" s="6">
        <f>INDEX($D$2:$D$7,MATCH(A3,$A$2:$A$7,0))</f>
        <v/>
      </c>
      <c r="K3" s="5">
        <f>INDEX($D$2:$D$7,MATCH(A3,$A$2:$A$7,0))</f>
        <v/>
      </c>
    </row>
    <row r="4">
      <c r="A4" s="2" t="inlineStr">
        <is>
          <t>P203</t>
        </is>
      </c>
      <c r="B4" s="2" t="inlineStr">
        <is>
          <t>Keyboard</t>
        </is>
      </c>
      <c r="C4" s="2" t="inlineStr">
        <is>
          <t>Accessories</t>
        </is>
      </c>
      <c r="D4" s="3" t="n">
        <v>1800</v>
      </c>
      <c r="E4" s="2" t="n">
        <v>18</v>
      </c>
      <c r="F4" s="4">
        <f>INDEX($B$2:$B$7,MATCH(A4,$A$2:$A$7,0))</f>
        <v/>
      </c>
      <c r="G4" s="5">
        <f>INDEX($B$2:$B$7,MATCH(A4,$A$2:$A$7,0))</f>
        <v/>
      </c>
      <c r="H4" s="4">
        <f>MATCH(A4,$A$2:$A$7,0)</f>
        <v/>
      </c>
      <c r="I4" s="5">
        <f>MATCH(A4,$A$2:$A$7,0)</f>
        <v/>
      </c>
      <c r="J4" s="6">
        <f>INDEX($D$2:$D$7,MATCH(A4,$A$2:$A$7,0))</f>
        <v/>
      </c>
      <c r="K4" s="5">
        <f>INDEX($D$2:$D$7,MATCH(A4,$A$2:$A$7,0))</f>
        <v/>
      </c>
    </row>
    <row r="5">
      <c r="A5" s="2" t="inlineStr">
        <is>
          <t>P204</t>
        </is>
      </c>
      <c r="B5" s="2" t="inlineStr">
        <is>
          <t>Monitor</t>
        </is>
      </c>
      <c r="C5" s="2" t="inlineStr">
        <is>
          <t>Electronics</t>
        </is>
      </c>
      <c r="D5" s="3" t="n">
        <v>14000</v>
      </c>
      <c r="E5" s="2" t="n">
        <v>10</v>
      </c>
      <c r="F5" s="4">
        <f>INDEX($B$2:$B$7,MATCH(A5,$A$2:$A$7,0))</f>
        <v/>
      </c>
      <c r="G5" s="5">
        <f>INDEX($B$2:$B$7,MATCH(A5,$A$2:$A$7,0))</f>
        <v/>
      </c>
      <c r="H5" s="4">
        <f>MATCH(A5,$A$2:$A$7,0)</f>
        <v/>
      </c>
      <c r="I5" s="5">
        <f>MATCH(A5,$A$2:$A$7,0)</f>
        <v/>
      </c>
      <c r="J5" s="6">
        <f>INDEX($D$2:$D$7,MATCH(A5,$A$2:$A$7,0))</f>
        <v/>
      </c>
      <c r="K5" s="5">
        <f>INDEX($D$2:$D$7,MATCH(A5,$A$2:$A$7,0))</f>
        <v/>
      </c>
    </row>
    <row r="6">
      <c r="A6" s="2" t="inlineStr">
        <is>
          <t>P205</t>
        </is>
      </c>
      <c r="B6" s="2" t="inlineStr">
        <is>
          <t>Headphones</t>
        </is>
      </c>
      <c r="C6" s="2" t="inlineStr">
        <is>
          <t>Electronics</t>
        </is>
      </c>
      <c r="D6" s="3" t="n">
        <v>3200</v>
      </c>
      <c r="E6" s="2" t="n">
        <v>25</v>
      </c>
      <c r="F6" s="4">
        <f>INDEX($B$2:$B$7,MATCH(A6,$A$2:$A$7,0))</f>
        <v/>
      </c>
      <c r="G6" s="5">
        <f>INDEX($B$2:$B$7,MATCH(A6,$A$2:$A$7,0))</f>
        <v/>
      </c>
      <c r="H6" s="4">
        <f>MATCH(A6,$A$2:$A$7,0)</f>
        <v/>
      </c>
      <c r="I6" s="5">
        <f>MATCH(A6,$A$2:$A$7,0)</f>
        <v/>
      </c>
      <c r="J6" s="6">
        <f>INDEX($D$2:$D$7,MATCH(A6,$A$2:$A$7,0))</f>
        <v/>
      </c>
      <c r="K6" s="5">
        <f>INDEX($D$2:$D$7,MATCH(A6,$A$2:$A$7,0))</f>
        <v/>
      </c>
    </row>
    <row r="7">
      <c r="A7" s="2" t="inlineStr">
        <is>
          <t>P206</t>
        </is>
      </c>
      <c r="B7" s="2" t="inlineStr">
        <is>
          <t>Webcam</t>
        </is>
      </c>
      <c r="C7" s="2" t="inlineStr">
        <is>
          <t>Accessories</t>
        </is>
      </c>
      <c r="D7" s="3" t="n">
        <v>2500</v>
      </c>
      <c r="E7" s="2" t="n">
        <v>14</v>
      </c>
      <c r="F7" s="4">
        <f>INDEX($B$2:$B$7,MATCH(A7,$A$2:$A$7,0))</f>
        <v/>
      </c>
      <c r="G7" s="5">
        <f>INDEX($B$2:$B$7,MATCH(A7,$A$2:$A$7,0))</f>
        <v/>
      </c>
      <c r="H7" s="4">
        <f>MATCH(A7,$A$2:$A$7,0)</f>
        <v/>
      </c>
      <c r="I7" s="5">
        <f>MATCH(A7,$A$2:$A$7,0)</f>
        <v/>
      </c>
      <c r="J7" s="6">
        <f>INDEX($D$2:$D$7,MATCH(A7,$A$2:$A$7,0))</f>
        <v/>
      </c>
      <c r="K7" s="5">
        <f>INDEX($D$2:$D$7,MATCH(A7,$A$2:$A$7,0))</f>
        <v/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7" t="inlineStr">
        <is>
          <t>INDEX + MATCH PRACTICAL</t>
        </is>
      </c>
      <c r="B10" s="2" t="n"/>
      <c r="C10" s="2" t="n"/>
      <c r="D10" s="7" t="inlineStr">
        <is>
          <t>Formula Breakdown</t>
        </is>
      </c>
      <c r="E10" s="2" t="n"/>
      <c r="F10" s="2" t="n"/>
      <c r="G10" s="2" t="n"/>
      <c r="H10" s="2" t="n"/>
      <c r="I10" s="2" t="n"/>
      <c r="J10" s="2" t="n"/>
      <c r="K10" s="2" t="n"/>
    </row>
    <row r="11">
      <c r="A11" s="2" t="inlineStr">
        <is>
          <t>Enter Product ID</t>
        </is>
      </c>
      <c r="B11" s="5" t="inlineStr">
        <is>
          <t>P204</t>
        </is>
      </c>
      <c r="C11" s="2" t="n"/>
      <c r="D11" s="2" t="inlineStr">
        <is>
          <t>Lookup Value</t>
        </is>
      </c>
      <c r="E11" s="5" t="inlineStr">
        <is>
          <t>P204</t>
        </is>
      </c>
      <c r="F11" s="2" t="n"/>
      <c r="G11" s="2" t="n"/>
      <c r="H11" s="2" t="n"/>
      <c r="I11" s="2" t="n"/>
      <c r="J11" s="2" t="n"/>
      <c r="K11" s="2" t="n"/>
    </row>
    <row r="12">
      <c r="A12" s="2" t="inlineStr">
        <is>
          <t>Product</t>
        </is>
      </c>
      <c r="B12" s="4">
        <f>INDEX($B$2:$B$7,MATCH(B11,$A$2:$A$7,0))</f>
        <v/>
      </c>
      <c r="C12" s="2" t="n"/>
      <c r="D12" s="2" t="inlineStr">
        <is>
          <t>MATCH</t>
        </is>
      </c>
      <c r="E12" s="5">
        <f>MATCH(B11,$A$2:$A$7,0)</f>
        <v/>
      </c>
      <c r="F12" s="2" t="n"/>
      <c r="G12" s="2" t="n"/>
      <c r="H12" s="2" t="n"/>
      <c r="I12" s="2" t="n"/>
      <c r="J12" s="2" t="n"/>
      <c r="K12" s="2" t="n"/>
    </row>
    <row r="13">
      <c r="A13" s="2" t="inlineStr">
        <is>
          <t>Price</t>
        </is>
      </c>
      <c r="B13" s="6">
        <f>INDEX($D$2:$D$7,MATCH(B11,$A$2:$A$7,0))</f>
        <v/>
      </c>
      <c r="C13" s="2" t="n"/>
      <c r="D13" s="2" t="inlineStr">
        <is>
          <t>INDEX Product</t>
        </is>
      </c>
      <c r="E13" s="5">
        <f>INDEX($B$2:$B$7,MATCH(B11,$A$2:$A$7,0))</f>
        <v/>
      </c>
      <c r="F13" s="2" t="n"/>
      <c r="G13" s="2" t="n"/>
      <c r="H13" s="2" t="n"/>
      <c r="I13" s="2" t="n"/>
      <c r="J13" s="2" t="n"/>
      <c r="K13" s="2" t="n"/>
    </row>
    <row r="14">
      <c r="A14" s="2" t="inlineStr">
        <is>
          <t>Stock</t>
        </is>
      </c>
      <c r="B14" s="4">
        <f>INDEX($E$2:$E$7,MATCH(B11,$A$2:$A$7,0))</f>
        <v/>
      </c>
      <c r="C14" s="2" t="n"/>
      <c r="D14" s="2" t="inlineStr">
        <is>
          <t>INDEX Price</t>
        </is>
      </c>
      <c r="E14" s="5">
        <f>INDEX($D$2:$D$7,MATCH(B11,$A$2:$A$7,0))</f>
        <v/>
      </c>
      <c r="F14" s="2" t="n"/>
      <c r="G14" s="2" t="n"/>
      <c r="H14" s="2" t="n"/>
      <c r="I14" s="2" t="n"/>
      <c r="J14" s="2" t="n"/>
      <c r="K14" s="2" t="n"/>
    </row>
    <row r="15">
      <c r="A15" s="2" t="n"/>
      <c r="B15" s="2" t="n"/>
      <c r="C15" s="2" t="n"/>
      <c r="D15" s="2" t="inlineStr">
        <is>
          <t>INDEX Stock</t>
        </is>
      </c>
      <c r="E15" s="5">
        <f>INDEX($E$2:$E$7,MATCH(B11,$A$2:$A$7,0))</f>
        <v/>
      </c>
      <c r="F15" s="2" t="n"/>
      <c r="G15" s="2" t="n"/>
      <c r="H15" s="2" t="n"/>
      <c r="I15" s="2" t="n"/>
      <c r="J15" s="2" t="n"/>
      <c r="K15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8" customWidth="1" min="2" max="2"/>
    <col width="38" customWidth="1" min="3" max="3"/>
  </cols>
  <sheetData>
    <row r="1">
      <c r="A1" s="1" t="inlineStr">
        <is>
          <t>Function</t>
        </is>
      </c>
      <c r="B1" s="1" t="inlineStr">
        <is>
          <t>Formula</t>
        </is>
      </c>
      <c r="C1" s="1" t="inlineStr">
        <is>
          <t>Purpose</t>
        </is>
      </c>
    </row>
    <row r="2">
      <c r="A2" s="2" t="inlineStr">
        <is>
          <t>INDEX</t>
        </is>
      </c>
      <c r="B2" s="2">
        <f>INDEX(array,row_num)</f>
        <v/>
      </c>
      <c r="C2" s="2" t="inlineStr">
        <is>
          <t>Returns a value from a specified position in a range.</t>
        </is>
      </c>
    </row>
    <row r="3">
      <c r="A3" s="2" t="inlineStr">
        <is>
          <t>MATCH</t>
        </is>
      </c>
      <c r="B3" s="2">
        <f>MATCH(lookup_value,lookup_array,0)</f>
        <v/>
      </c>
      <c r="C3" s="2" t="inlineStr">
        <is>
          <t>Finds the position of a value in a range.</t>
        </is>
      </c>
    </row>
    <row r="4">
      <c r="A4" s="2" t="inlineStr">
        <is>
          <t>INDEX + MATCH</t>
        </is>
      </c>
      <c r="B4" s="2">
        <f>INDEX(return_range,MATCH(lookup_value,lookup_range,0))</f>
        <v/>
      </c>
      <c r="C4" s="2" t="inlineStr">
        <is>
          <t>MATCH finds the position and INDEX returns the required value.</t>
        </is>
      </c>
    </row>
    <row r="5">
      <c r="A5" s="2" t="inlineStr">
        <is>
          <t>0 in MATCH</t>
        </is>
      </c>
      <c r="B5" s="2" t="inlineStr">
        <is>
          <t>Exact Match</t>
        </is>
      </c>
      <c r="C5" s="2" t="inlineStr">
        <is>
          <t>Ensures the lookup value must match exactly.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9" customWidth="1" min="7" max="7"/>
    <col width="38" customWidth="1" min="8" max="8"/>
    <col width="14" customWidth="1" min="9" max="9"/>
    <col width="38" customWidth="1" min="10" max="10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Department</t>
        </is>
      </c>
      <c r="D1" s="1" t="inlineStr">
        <is>
          <t>City</t>
        </is>
      </c>
      <c r="E1" s="1" t="inlineStr">
        <is>
          <t>Salary</t>
        </is>
      </c>
      <c r="F1" s="1" t="n"/>
      <c r="G1" s="1" t="inlineStr">
        <is>
          <t>Flexible Lookup</t>
        </is>
      </c>
      <c r="H1" s="1" t="n"/>
      <c r="I1" s="1" t="n"/>
      <c r="J1" s="1" t="inlineStr">
        <is>
          <t>Formulas</t>
        </is>
      </c>
    </row>
    <row r="2">
      <c r="A2" s="2" t="inlineStr">
        <is>
          <t>EMP301</t>
        </is>
      </c>
      <c r="B2" s="2" t="inlineStr">
        <is>
          <t>Ananya</t>
        </is>
      </c>
      <c r="C2" s="2" t="inlineStr">
        <is>
          <t>Sales</t>
        </is>
      </c>
      <c r="D2" s="2" t="inlineStr">
        <is>
          <t>Delhi</t>
        </is>
      </c>
      <c r="E2" s="3" t="n">
        <v>36000</v>
      </c>
      <c r="F2" s="2" t="n"/>
      <c r="G2" s="2" t="inlineStr">
        <is>
          <t>Enter Employee ID</t>
        </is>
      </c>
      <c r="H2" s="5" t="inlineStr">
        <is>
          <t>EMP302</t>
        </is>
      </c>
      <c r="I2" s="2" t="n"/>
      <c r="J2" s="5">
        <f>INDEX($B$2:$B$6,MATCH(H2,$A$2:$A$6,0))</f>
        <v/>
      </c>
    </row>
    <row r="3">
      <c r="A3" s="2" t="inlineStr">
        <is>
          <t>EMP302</t>
        </is>
      </c>
      <c r="B3" s="2" t="inlineStr">
        <is>
          <t>Karan</t>
        </is>
      </c>
      <c r="C3" s="2" t="inlineStr">
        <is>
          <t>IT</t>
        </is>
      </c>
      <c r="D3" s="2" t="inlineStr">
        <is>
          <t>Noida</t>
        </is>
      </c>
      <c r="E3" s="3" t="n">
        <v>48000</v>
      </c>
      <c r="F3" s="2" t="n"/>
      <c r="G3" s="2" t="inlineStr">
        <is>
          <t>Employee Name</t>
        </is>
      </c>
      <c r="H3" s="4">
        <f>INDEX($B$2:$B$6,MATCH(H2,$A$2:$A$6,0))</f>
        <v/>
      </c>
      <c r="I3" s="2" t="n"/>
      <c r="J3" s="5">
        <f>INDEX($D$2:$D$6,MATCH(H2,$A$2:$A$6,0))</f>
        <v/>
      </c>
    </row>
    <row r="4">
      <c r="A4" s="2" t="inlineStr">
        <is>
          <t>EMP303</t>
        </is>
      </c>
      <c r="B4" s="2" t="inlineStr">
        <is>
          <t>Mehak</t>
        </is>
      </c>
      <c r="C4" s="2" t="inlineStr">
        <is>
          <t>HR</t>
        </is>
      </c>
      <c r="D4" s="2" t="inlineStr">
        <is>
          <t>Dehradun</t>
        </is>
      </c>
      <c r="E4" s="3" t="n">
        <v>40000</v>
      </c>
      <c r="F4" s="2" t="n"/>
      <c r="G4" s="2" t="inlineStr">
        <is>
          <t>City</t>
        </is>
      </c>
      <c r="H4" s="4">
        <f>INDEX($D$2:$D$6,MATCH(H2,$A$2:$A$6,0))</f>
        <v/>
      </c>
      <c r="I4" s="2" t="n"/>
      <c r="J4" s="5">
        <f>INDEX($E$2:$E$6,MATCH(H2,$A$2:$A$6,0))</f>
        <v/>
      </c>
    </row>
    <row r="5">
      <c r="A5" s="2" t="inlineStr">
        <is>
          <t>EMP304</t>
        </is>
      </c>
      <c r="B5" s="2" t="inlineStr">
        <is>
          <t>Arjun</t>
        </is>
      </c>
      <c r="C5" s="2" t="inlineStr">
        <is>
          <t>Finance</t>
        </is>
      </c>
      <c r="D5" s="2" t="inlineStr">
        <is>
          <t>Delhi</t>
        </is>
      </c>
      <c r="E5" s="3" t="n">
        <v>45000</v>
      </c>
      <c r="F5" s="2" t="n"/>
      <c r="G5" s="2" t="inlineStr">
        <is>
          <t>Salary</t>
        </is>
      </c>
      <c r="H5" s="6">
        <f>INDEX($E$2:$E$6,MATCH(H2,$A$2:$A$6,0))</f>
        <v/>
      </c>
      <c r="I5" s="2" t="n"/>
      <c r="J5" s="2" t="n"/>
    </row>
    <row r="6">
      <c r="A6" s="2" t="inlineStr">
        <is>
          <t>EMP305</t>
        </is>
      </c>
      <c r="B6" s="2" t="inlineStr">
        <is>
          <t>Simran</t>
        </is>
      </c>
      <c r="C6" s="2" t="inlineStr">
        <is>
          <t>Marketing</t>
        </is>
      </c>
      <c r="D6" s="2" t="inlineStr">
        <is>
          <t>Jaipur</t>
        </is>
      </c>
      <c r="E6" s="3" t="n">
        <v>38000</v>
      </c>
      <c r="F6" s="2" t="n"/>
      <c r="G6" s="2" t="n"/>
      <c r="H6" s="2" t="n"/>
      <c r="I6" s="2" t="n"/>
      <c r="J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2026-09-21T16:58:21Z</dcterms:created>
  <dcterms:modified xmlns:dcterms="http://purl.org/dc/terms/" xmlns:xsi="http://www.w3.org/2001/XMLSchema-instance" xsi:type="dcterms:W3CDTF">2026-09-21T16:58:21Z</dcterms:modified>
</cp:coreProperties>
</file>