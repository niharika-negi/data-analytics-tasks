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872ab9b83121b76a/Desktop/"/>
    </mc:Choice>
  </mc:AlternateContent>
  <xr:revisionPtr revIDLastSave="352" documentId="14_{B846B2CA-4274-48DC-B628-D8042AC2C912}" xr6:coauthVersionLast="47" xr6:coauthVersionMax="47" xr10:uidLastSave="{C7354A5D-7371-42F2-A6E4-B852F776F3D0}"/>
  <bookViews>
    <workbookView xWindow="-108" yWindow="-108" windowWidth="23256" windowHeight="12456" activeTab="2" xr2:uid="{00000000-000D-0000-FFFF-FFFF00000000}"/>
  </bookViews>
  <sheets>
    <sheet name="Pivot Tables" sheetId="3" r:id="rId1"/>
    <sheet name="SalesData" sheetId="1" r:id="rId2"/>
    <sheet name="Dashboard" sheetId="2" r:id="rId3"/>
  </sheets>
  <definedNames>
    <definedName name="Slicer_Category">#N/A</definedName>
    <definedName name="Slicer_Customer_Type">#N/A</definedName>
    <definedName name="Slicer_Paymen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l="1"/>
  <c r="G6" i="2"/>
  <c r="D6" i="2"/>
  <c r="A6" i="2"/>
  <c r="K2" i="1"/>
  <c r="K3" i="1"/>
  <c r="K4" i="1"/>
  <c r="K5" i="1"/>
  <c r="K6" i="1"/>
  <c r="K7" i="1"/>
  <c r="K8" i="1"/>
  <c r="K9" i="1"/>
  <c r="K10" i="1"/>
  <c r="K11" i="1"/>
  <c r="K12" i="1"/>
  <c r="K13" i="1"/>
  <c r="K14" i="1"/>
  <c r="K15" i="1"/>
  <c r="K16" i="1"/>
  <c r="K17" i="1"/>
  <c r="K18" i="1"/>
  <c r="K19" i="1"/>
  <c r="K20" i="1"/>
  <c r="K21" i="1"/>
</calcChain>
</file>

<file path=xl/sharedStrings.xml><?xml version="1.0" encoding="utf-8"?>
<sst xmlns="http://schemas.openxmlformats.org/spreadsheetml/2006/main" count="193" uniqueCount="84">
  <si>
    <t>Order ID</t>
  </si>
  <si>
    <t>Date</t>
  </si>
  <si>
    <t>Region</t>
  </si>
  <si>
    <t>Product</t>
  </si>
  <si>
    <t>Category</t>
  </si>
  <si>
    <t>Quantity</t>
  </si>
  <si>
    <t>Unit Price</t>
  </si>
  <si>
    <t>Sales</t>
  </si>
  <si>
    <t>Customer Type</t>
  </si>
  <si>
    <t>Payment</t>
  </si>
  <si>
    <t>O1001</t>
  </si>
  <si>
    <t>05-Jan-26</t>
  </si>
  <si>
    <t>North</t>
  </si>
  <si>
    <t>Laptop</t>
  </si>
  <si>
    <t>Electronics</t>
  </si>
  <si>
    <t>New</t>
  </si>
  <si>
    <t>UPI</t>
  </si>
  <si>
    <t>O1002</t>
  </si>
  <si>
    <t>08-Jan-26</t>
  </si>
  <si>
    <t>West</t>
  </si>
  <si>
    <t>Shirt</t>
  </si>
  <si>
    <t>Clothing</t>
  </si>
  <si>
    <t>Returning</t>
  </si>
  <si>
    <t>Card</t>
  </si>
  <si>
    <t>O1003</t>
  </si>
  <si>
    <t>12-Jan-26</t>
  </si>
  <si>
    <t>South</t>
  </si>
  <si>
    <t>Mobile</t>
  </si>
  <si>
    <t>O1004</t>
  </si>
  <si>
    <t>18-Jan-26</t>
  </si>
  <si>
    <t>East</t>
  </si>
  <si>
    <t>Shoes</t>
  </si>
  <si>
    <t>Cash</t>
  </si>
  <si>
    <t>O1005</t>
  </si>
  <si>
    <t>25-Jan-26</t>
  </si>
  <si>
    <t>Headphones</t>
  </si>
  <si>
    <t>O1006</t>
  </si>
  <si>
    <t>02-Feb-26</t>
  </si>
  <si>
    <t>Chair</t>
  </si>
  <si>
    <t>Furniture</t>
  </si>
  <si>
    <t>O1007</t>
  </si>
  <si>
    <t>09-Feb-26</t>
  </si>
  <si>
    <t>O1008</t>
  </si>
  <si>
    <t>15-Feb-26</t>
  </si>
  <si>
    <t>Dress</t>
  </si>
  <si>
    <t>O1009</t>
  </si>
  <si>
    <t>22-Feb-26</t>
  </si>
  <si>
    <t>Table</t>
  </si>
  <si>
    <t>O1010</t>
  </si>
  <si>
    <t>03-Mar-26</t>
  </si>
  <si>
    <t>O1011</t>
  </si>
  <si>
    <t>10-Mar-26</t>
  </si>
  <si>
    <t>O1012</t>
  </si>
  <si>
    <t>17-Mar-26</t>
  </si>
  <si>
    <t>O1013</t>
  </si>
  <si>
    <t>25-Mar-26</t>
  </si>
  <si>
    <t>O1014</t>
  </si>
  <si>
    <t>02-Apr-26</t>
  </si>
  <si>
    <t>O1015</t>
  </si>
  <si>
    <t>09-Apr-26</t>
  </si>
  <si>
    <t>O1016</t>
  </si>
  <si>
    <t>16-Apr-26</t>
  </si>
  <si>
    <t>O1017</t>
  </si>
  <si>
    <t>23-Apr-26</t>
  </si>
  <si>
    <t>O1018</t>
  </si>
  <si>
    <t>30-Apr-26</t>
  </si>
  <si>
    <t>O1019</t>
  </si>
  <si>
    <t>07-May-26</t>
  </si>
  <si>
    <t>O1020</t>
  </si>
  <si>
    <t>14-May-26</t>
  </si>
  <si>
    <t>Row Labels</t>
  </si>
  <si>
    <t>Grand Total</t>
  </si>
  <si>
    <t>Sum of Sales</t>
  </si>
  <si>
    <t>Month</t>
  </si>
  <si>
    <t>Jan</t>
  </si>
  <si>
    <t>Feb</t>
  </si>
  <si>
    <t>Mar</t>
  </si>
  <si>
    <t>Apr</t>
  </si>
  <si>
    <t>May</t>
  </si>
  <si>
    <t>E-COMMERCE SALES DASHBOARD</t>
  </si>
  <si>
    <t>TOTAL SALES</t>
  </si>
  <si>
    <t>TOTAL ORDERS</t>
  </si>
  <si>
    <t>TOTAL QUANTITY</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</si>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</sst>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
    <numFmt numFmtId="165" formatCode="\₹#,##0"/>
    <numFmt numFmtId="166" formatCode="_ [$₹-4009]\ * #,##0.00_ ;_ [$₹-4009]\ * \-#,##0.00_ ;_ [$₹-4009]\ * &quot;-&quot;??_ ;_ @_ "/>
  </numFmts>
  <fonts count="12" x14ac:knownFonts="1">
    <font>
      <sz val="11"/>
      <color theme="1"/>
      <name val="Calibri"/>
      <family val="2"/>
      <scheme val="minor"/>
    </font>
    <font>
      <b/>
      <sz val="11"/>
      <name val="Calibri"/>
    </font>
    <font>
      <b/>
      <sz val="11"/>
      <name val="Calibri"/>
      <family val="2"/>
    </font>
    <font>
      <b/>
      <sz val="11"/>
      <color theme="1"/>
      <name val="Calibri"/>
      <family val="2"/>
      <scheme val="minor"/>
    </font>
    <font>
      <sz val="11"/>
      <color theme="7" tint="-0.249977111117893"/>
      <name val="Calibri"/>
      <family val="2"/>
      <scheme val="minor"/>
    </font>
    <font>
      <sz val="20"/>
      <color theme="7" tint="-0.249977111117893"/>
      <name val="Calibri"/>
      <family val="2"/>
      <scheme val="minor"/>
    </font>
    <font>
      <sz val="11"/>
      <color theme="3" tint="-0.249977111117893"/>
      <name val="Calibri"/>
      <family val="2"/>
      <scheme val="minor"/>
    </font>
    <font>
      <sz val="22"/>
      <color theme="5"/>
      <name val="Calibri"/>
      <family val="2"/>
      <scheme val="minor"/>
    </font>
    <font>
      <sz val="11"/>
      <color theme="6" tint="-0.249977111117893"/>
      <name val="Calibri"/>
      <family val="2"/>
      <scheme val="minor"/>
    </font>
    <font>
      <b/>
      <sz val="11"/>
      <color theme="7" tint="-0.249977111117893"/>
      <name val="Calibri"/>
      <family val="2"/>
      <scheme val="minor"/>
    </font>
    <font>
      <b/>
      <sz val="11"/>
      <color theme="3" tint="-0.249977111117893"/>
      <name val="Calibri"/>
      <family val="2"/>
      <scheme val="minor"/>
    </font>
    <font>
      <b/>
      <sz val="11"/>
      <color theme="6" tint="-0.249977111117893"/>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rgb="FFEBE1E7"/>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xf>
    <xf numFmtId="164" fontId="0" fillId="0" borderId="0" xfId="0" applyNumberFormat="1"/>
    <xf numFmtId="165" fontId="0" fillId="0" borderId="0" xfId="0" applyNumberFormat="1"/>
    <xf numFmtId="0" fontId="2" fillId="0" borderId="1" xfId="0" applyFont="1" applyBorder="1" applyAlignment="1">
      <alignment horizontal="center"/>
    </xf>
    <xf numFmtId="0" fontId="0" fillId="0" borderId="0" xfId="0" pivotButton="1"/>
    <xf numFmtId="0" fontId="0" fillId="0" borderId="0" xfId="0" applyAlignment="1">
      <alignment horizontal="left"/>
    </xf>
    <xf numFmtId="0" fontId="0" fillId="7" borderId="0" xfId="0" applyFill="1"/>
    <xf numFmtId="0" fontId="4" fillId="7" borderId="0" xfId="0" applyFont="1" applyFill="1"/>
    <xf numFmtId="0" fontId="0" fillId="5" borderId="0" xfId="0" applyFill="1"/>
    <xf numFmtId="0" fontId="11" fillId="6" borderId="0" xfId="0" applyFont="1" applyFill="1" applyAlignment="1">
      <alignment horizontal="center"/>
    </xf>
    <xf numFmtId="166" fontId="8" fillId="6" borderId="0" xfId="0" applyNumberFormat="1" applyFont="1" applyFill="1" applyAlignment="1">
      <alignment horizontal="center"/>
    </xf>
    <xf numFmtId="0" fontId="7" fillId="5" borderId="0" xfId="0" applyFont="1" applyFill="1" applyAlignment="1">
      <alignment horizontal="center"/>
    </xf>
    <xf numFmtId="0" fontId="9" fillId="3" borderId="0" xfId="0" applyFont="1" applyFill="1" applyAlignment="1">
      <alignment horizontal="center"/>
    </xf>
    <xf numFmtId="0" fontId="3" fillId="3" borderId="0" xfId="0" applyFont="1" applyFill="1" applyAlignment="1">
      <alignment horizontal="center"/>
    </xf>
    <xf numFmtId="165" fontId="5" fillId="3" borderId="0" xfId="0" applyNumberFormat="1" applyFont="1" applyFill="1" applyAlignment="1">
      <alignment horizontal="center"/>
    </xf>
    <xf numFmtId="0" fontId="5" fillId="3" borderId="0" xfId="0" applyFont="1" applyFill="1" applyAlignment="1">
      <alignment horizontal="center"/>
    </xf>
    <xf numFmtId="0" fontId="9"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10" fillId="4" borderId="0" xfId="0" applyFont="1" applyFill="1" applyAlignment="1">
      <alignment horizontal="center"/>
    </xf>
    <xf numFmtId="0" fontId="6" fillId="4" borderId="0" xfId="0" applyFont="1" applyFill="1" applyAlignment="1">
      <alignment horizontal="center"/>
    </xf>
  </cellXfs>
  <cellStyles count="1">
    <cellStyle name="Normal" xfId="0" builtinId="0"/>
  </cellStyles>
  <dxfs count="1">
    <dxf>
      <numFmt numFmtId="0" formatCode="General"/>
    </dxf>
  </dxfs>
  <tableStyles count="0" defaultTableStyle="TableStyleMedium9" defaultPivotStyle="PivotStyleLight16"/>
  <colors>
    <mruColors>
      <color rgb="FFFFFFCC"/>
      <color rgb="FFFF66CC"/>
      <color rgb="FFEBE1E7"/>
      <color rgb="FFE8E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[Final_Sales_Dataset.xlsx]Pivot Tables!PivotTable1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2">
              <a:lumMod val="40000"/>
              <a:lumOff val="60000"/>
            </a:schemeClr>
          </a:solidFill>
          <a:ln>
            <a:noFill/>
          </a:ln>
          <a:effectLst/>
        </c:spPr>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201E-4663-B2B3-B52F69094BB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201E-4663-B2B3-B52F69094BB7}"/>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201E-4663-B2B3-B52F69094BB7}"/>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201E-4663-B2B3-B52F69094BB7}"/>
              </c:ext>
            </c:extLst>
          </c:dPt>
          <c:cat>
            <c:strRef>
              <c:f>'Pivot Tables'!$A$4:$A$8</c:f>
              <c:strCache>
                <c:ptCount val="4"/>
                <c:pt idx="0">
                  <c:v>East</c:v>
                </c:pt>
                <c:pt idx="1">
                  <c:v>North</c:v>
                </c:pt>
                <c:pt idx="2">
                  <c:v>South</c:v>
                </c:pt>
                <c:pt idx="3">
                  <c:v>West</c:v>
                </c:pt>
              </c:strCache>
            </c:strRef>
          </c:cat>
          <c:val>
            <c:numRef>
              <c:f>'Pivot Tables'!$B$4:$B$8</c:f>
              <c:numCache>
                <c:formatCode>\₹#,##0</c:formatCode>
                <c:ptCount val="4"/>
                <c:pt idx="0">
                  <c:v>51700</c:v>
                </c:pt>
                <c:pt idx="1">
                  <c:v>187800</c:v>
                </c:pt>
                <c:pt idx="2">
                  <c:v>247600</c:v>
                </c:pt>
                <c:pt idx="3">
                  <c:v>98700</c:v>
                </c:pt>
              </c:numCache>
            </c:numRef>
          </c:val>
          <c:extLst>
            <c:ext xmlns:c16="http://schemas.microsoft.com/office/drawing/2014/chart" uri="{C3380CC4-5D6E-409C-BE32-E72D297353CC}">
              <c16:uniqueId val="{00000000-201E-4663-B2B3-B52F69094BB7}"/>
            </c:ext>
          </c:extLst>
        </c:ser>
        <c:dLbls>
          <c:showLegendKey val="0"/>
          <c:showVal val="0"/>
          <c:showCatName val="0"/>
          <c:showSerName val="0"/>
          <c:showPercent val="0"/>
          <c:showBubbleSize val="0"/>
        </c:dLbls>
        <c:gapWidth val="219"/>
        <c:overlap val="-27"/>
        <c:axId val="1968640096"/>
        <c:axId val="1572889200"/>
      </c:barChart>
      <c:catAx>
        <c:axId val="196864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889200"/>
        <c:crosses val="autoZero"/>
        <c:auto val="1"/>
        <c:lblAlgn val="ctr"/>
        <c:lblOffset val="100"/>
        <c:noMultiLvlLbl val="0"/>
      </c:catAx>
      <c:valAx>
        <c:axId val="1572889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[Final_Sales_Dataset.xlsx]Pivot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66CC"/>
          </a:solidFill>
          <a:ln w="19050">
            <a:solidFill>
              <a:schemeClr val="lt1"/>
            </a:solidFill>
          </a:ln>
          <a:effectLst/>
        </c:spPr>
      </c:pivotFmt>
      <c:pivotFmt>
        <c:idx val="7"/>
        <c:spPr>
          <a:solidFill>
            <a:schemeClr val="accent2">
              <a:lumMod val="60000"/>
              <a:lumOff val="40000"/>
            </a:schemeClr>
          </a:solidFill>
          <a:ln w="19050">
            <a:solidFill>
              <a:schemeClr val="lt1"/>
            </a:solidFill>
          </a:ln>
          <a:effectLst/>
        </c:spPr>
      </c:pivotFmt>
      <c:pivotFmt>
        <c:idx val="8"/>
        <c:spPr>
          <a:solidFill>
            <a:schemeClr val="accent5">
              <a:lumMod val="75000"/>
            </a:schemeClr>
          </a:solidFill>
          <a:ln w="19050">
            <a:solidFill>
              <a:schemeClr val="lt1"/>
            </a:solidFill>
          </a:ln>
          <a:effectLst/>
        </c:spPr>
      </c:pivotFmt>
    </c:pivotFmts>
    <c:plotArea>
      <c:layout/>
      <c:pieChart>
        <c:varyColors val="1"/>
        <c:ser>
          <c:idx val="0"/>
          <c:order val="0"/>
          <c:tx>
            <c:strRef>
              <c:f>'Pivot Tables'!$B$12</c:f>
              <c:strCache>
                <c:ptCount val="1"/>
                <c:pt idx="0">
                  <c:v>Total</c:v>
                </c:pt>
              </c:strCache>
            </c:strRef>
          </c:tx>
          <c:spPr>
            <a:solidFill>
              <a:schemeClr val="accent2">
                <a:lumMod val="60000"/>
                <a:lumOff val="40000"/>
              </a:schemeClr>
            </a:solidFill>
          </c:spPr>
          <c:dPt>
            <c:idx val="0"/>
            <c:bubble3D val="0"/>
            <c:spPr>
              <a:solidFill>
                <a:srgbClr val="FF66CC"/>
              </a:solidFill>
              <a:ln w="19050">
                <a:solidFill>
                  <a:schemeClr val="lt1"/>
                </a:solidFill>
              </a:ln>
              <a:effectLst/>
            </c:spPr>
            <c:extLst>
              <c:ext xmlns:c16="http://schemas.microsoft.com/office/drawing/2014/chart" uri="{C3380CC4-5D6E-409C-BE32-E72D297353CC}">
                <c16:uniqueId val="{00000001-0FBA-4D9A-BB6B-AF7BC450FCF6}"/>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0FBA-4D9A-BB6B-AF7BC450FCF6}"/>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0FBA-4D9A-BB6B-AF7BC450FCF6}"/>
              </c:ext>
            </c:extLst>
          </c:dPt>
          <c:cat>
            <c:strRef>
              <c:f>'Pivot Tables'!$A$13:$A$16</c:f>
              <c:strCache>
                <c:ptCount val="3"/>
                <c:pt idx="0">
                  <c:v>Clothing</c:v>
                </c:pt>
                <c:pt idx="1">
                  <c:v>Electronics</c:v>
                </c:pt>
                <c:pt idx="2">
                  <c:v>Furniture</c:v>
                </c:pt>
              </c:strCache>
            </c:strRef>
          </c:cat>
          <c:val>
            <c:numRef>
              <c:f>'Pivot Tables'!$B$13:$B$16</c:f>
              <c:numCache>
                <c:formatCode>\₹#,##0</c:formatCode>
                <c:ptCount val="3"/>
                <c:pt idx="0">
                  <c:v>67900</c:v>
                </c:pt>
                <c:pt idx="1">
                  <c:v>462800</c:v>
                </c:pt>
                <c:pt idx="2">
                  <c:v>55100</c:v>
                </c:pt>
              </c:numCache>
            </c:numRef>
          </c:val>
          <c:extLst>
            <c:ext xmlns:c16="http://schemas.microsoft.com/office/drawing/2014/chart" uri="{C3380CC4-5D6E-409C-BE32-E72D297353CC}">
              <c16:uniqueId val="{00000006-0FBA-4D9A-BB6B-AF7BC450FC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[Final_Sales_Dataset.xlsx]Pivot Tables!PivotTable4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Tables'!$E$20</c:f>
              <c:strCache>
                <c:ptCount val="1"/>
                <c:pt idx="0">
                  <c:v>Total</c:v>
                </c:pt>
              </c:strCache>
            </c:strRef>
          </c:tx>
          <c:spPr>
            <a:ln w="28575" cap="rnd">
              <a:solidFill>
                <a:schemeClr val="accent1"/>
              </a:solidFill>
              <a:round/>
            </a:ln>
            <a:effectLst/>
          </c:spPr>
          <c:marker>
            <c:symbol val="none"/>
          </c:marker>
          <c:cat>
            <c:strRef>
              <c:f>'Pivot Tables'!$D$21:$D$26</c:f>
              <c:strCache>
                <c:ptCount val="5"/>
                <c:pt idx="0">
                  <c:v>Jan</c:v>
                </c:pt>
                <c:pt idx="1">
                  <c:v>Feb</c:v>
                </c:pt>
                <c:pt idx="2">
                  <c:v>Mar</c:v>
                </c:pt>
                <c:pt idx="3">
                  <c:v>Apr</c:v>
                </c:pt>
                <c:pt idx="4">
                  <c:v>May</c:v>
                </c:pt>
              </c:strCache>
            </c:strRef>
          </c:cat>
          <c:val>
            <c:numRef>
              <c:f>'Pivot Tables'!$E$21:$E$26</c:f>
              <c:numCache>
                <c:formatCode>\₹#,##0</c:formatCode>
                <c:ptCount val="5"/>
                <c:pt idx="0">
                  <c:v>190800</c:v>
                </c:pt>
                <c:pt idx="1">
                  <c:v>87600</c:v>
                </c:pt>
                <c:pt idx="2">
                  <c:v>109000</c:v>
                </c:pt>
                <c:pt idx="3">
                  <c:v>173200</c:v>
                </c:pt>
                <c:pt idx="4">
                  <c:v>25200</c:v>
                </c:pt>
              </c:numCache>
            </c:numRef>
          </c:val>
          <c:smooth val="0"/>
          <c:extLst>
            <c:ext xmlns:c16="http://schemas.microsoft.com/office/drawing/2014/chart" uri="{C3380CC4-5D6E-409C-BE32-E72D297353CC}">
              <c16:uniqueId val="{00000000-538F-483E-9644-291EBBF34458}"/>
            </c:ext>
          </c:extLst>
        </c:ser>
        <c:dLbls>
          <c:showLegendKey val="0"/>
          <c:showVal val="0"/>
          <c:showCatName val="0"/>
          <c:showSerName val="0"/>
          <c:showPercent val="0"/>
          <c:showBubbleSize val="0"/>
        </c:dLbls>
        <c:smooth val="0"/>
        <c:axId val="2136894960"/>
        <c:axId val="2146220976"/>
      </c:lineChart>
      <c:catAx>
        <c:axId val="213689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220976"/>
        <c:crosses val="autoZero"/>
        <c:auto val="1"/>
        <c:lblAlgn val="ctr"/>
        <c:lblOffset val="100"/>
        <c:noMultiLvlLbl val="0"/>
      </c:catAx>
      <c:valAx>
        <c:axId val="2146220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89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[Final_Sales_Dataset.xlsx]Pivot Tables!PivotTable3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PRODUCT</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99569083715279"/>
          <c:y val="0.1981303418803419"/>
          <c:w val="0.48922474242958436"/>
          <c:h val="0.49058062453731743"/>
        </c:manualLayout>
      </c:layout>
      <c:barChart>
        <c:barDir val="col"/>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strRef>
              <c:f>'Pivot Tables'!$A$21:$A$29</c:f>
              <c:strCache>
                <c:ptCount val="8"/>
                <c:pt idx="0">
                  <c:v>Chair</c:v>
                </c:pt>
                <c:pt idx="1">
                  <c:v>Dress</c:v>
                </c:pt>
                <c:pt idx="2">
                  <c:v>Headphones</c:v>
                </c:pt>
                <c:pt idx="3">
                  <c:v>Laptop</c:v>
                </c:pt>
                <c:pt idx="4">
                  <c:v>Mobile</c:v>
                </c:pt>
                <c:pt idx="5">
                  <c:v>Shirt</c:v>
                </c:pt>
                <c:pt idx="6">
                  <c:v>Shoes</c:v>
                </c:pt>
                <c:pt idx="7">
                  <c:v>Table</c:v>
                </c:pt>
              </c:strCache>
            </c:strRef>
          </c:cat>
          <c:val>
            <c:numRef>
              <c:f>'Pivot Tables'!$B$21:$B$29</c:f>
              <c:numCache>
                <c:formatCode>\₹#,##0</c:formatCode>
                <c:ptCount val="8"/>
                <c:pt idx="0">
                  <c:v>33600</c:v>
                </c:pt>
                <c:pt idx="1">
                  <c:v>14600</c:v>
                </c:pt>
                <c:pt idx="2">
                  <c:v>22800</c:v>
                </c:pt>
                <c:pt idx="3">
                  <c:v>280000</c:v>
                </c:pt>
                <c:pt idx="4">
                  <c:v>160000</c:v>
                </c:pt>
                <c:pt idx="5">
                  <c:v>13700</c:v>
                </c:pt>
                <c:pt idx="6">
                  <c:v>39600</c:v>
                </c:pt>
                <c:pt idx="7">
                  <c:v>21500</c:v>
                </c:pt>
              </c:numCache>
            </c:numRef>
          </c:val>
          <c:extLst>
            <c:ext xmlns:c16="http://schemas.microsoft.com/office/drawing/2014/chart" uri="{C3380CC4-5D6E-409C-BE32-E72D297353CC}">
              <c16:uniqueId val="{00000000-9330-416B-9ABE-EFBFA318AD67}"/>
            </c:ext>
          </c:extLst>
        </c:ser>
        <c:dLbls>
          <c:showLegendKey val="0"/>
          <c:showVal val="0"/>
          <c:showCatName val="0"/>
          <c:showSerName val="0"/>
          <c:showPercent val="0"/>
          <c:showBubbleSize val="0"/>
        </c:dLbls>
        <c:gapWidth val="219"/>
        <c:overlap val="-27"/>
        <c:axId val="130909424"/>
        <c:axId val="2146195536"/>
      </c:barChart>
      <c:catAx>
        <c:axId val="13090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195536"/>
        <c:crosses val="autoZero"/>
        <c:auto val="1"/>
        <c:lblAlgn val="ctr"/>
        <c:lblOffset val="100"/>
        <c:noMultiLvlLbl val="0"/>
      </c:catAx>
      <c:valAx>
        <c:axId val="2146195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[Final_Sales_Dataset.xlsx]Pivot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c:f>
              <c:strCache>
                <c:ptCount val="1"/>
                <c:pt idx="0">
                  <c:v>Total</c:v>
                </c:pt>
              </c:strCache>
            </c:strRef>
          </c:tx>
          <c:spPr>
            <a:solidFill>
              <a:schemeClr val="accent5"/>
            </a:solidFill>
            <a:ln>
              <a:noFill/>
            </a:ln>
            <a:effectLst/>
          </c:spPr>
          <c:invertIfNegative val="0"/>
          <c:cat>
            <c:strRef>
              <c:f>'Pivot Tables'!$D$3:$D$5</c:f>
              <c:strCache>
                <c:ptCount val="2"/>
                <c:pt idx="0">
                  <c:v>New</c:v>
                </c:pt>
                <c:pt idx="1">
                  <c:v>Returning</c:v>
                </c:pt>
              </c:strCache>
            </c:strRef>
          </c:cat>
          <c:val>
            <c:numRef>
              <c:f>'Pivot Tables'!$E$3:$E$5</c:f>
              <c:numCache>
                <c:formatCode>\₹#,##0</c:formatCode>
                <c:ptCount val="2"/>
                <c:pt idx="0">
                  <c:v>436000</c:v>
                </c:pt>
                <c:pt idx="1">
                  <c:v>149800</c:v>
                </c:pt>
              </c:numCache>
            </c:numRef>
          </c:val>
          <c:extLst>
            <c:ext xmlns:c16="http://schemas.microsoft.com/office/drawing/2014/chart" uri="{C3380CC4-5D6E-409C-BE32-E72D297353CC}">
              <c16:uniqueId val="{00000000-9888-427E-A291-902A3FD1674B}"/>
            </c:ext>
          </c:extLst>
        </c:ser>
        <c:dLbls>
          <c:showLegendKey val="0"/>
          <c:showVal val="0"/>
          <c:showCatName val="0"/>
          <c:showSerName val="0"/>
          <c:showPercent val="0"/>
          <c:showBubbleSize val="0"/>
        </c:dLbls>
        <c:gapWidth val="219"/>
        <c:overlap val="-27"/>
        <c:axId val="171785792"/>
        <c:axId val="2146255536"/>
      </c:barChart>
      <c:catAx>
        <c:axId val="1717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255536"/>
        <c:crosses val="autoZero"/>
        <c:auto val="1"/>
        <c:lblAlgn val="ctr"/>
        <c:lblOffset val="100"/>
        <c:noMultiLvlLbl val="0"/>
      </c:catAx>
      <c:valAx>
        <c:axId val="2146255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8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22860</xdr:rowOff>
    </xdr:from>
    <xdr:to>
      <xdr:col>5</xdr:col>
      <xdr:colOff>594360</xdr:colOff>
      <xdr:row>21</xdr:row>
      <xdr:rowOff>15240</xdr:rowOff>
    </xdr:to>
    <xdr:graphicFrame macro="">
      <xdr:nvGraphicFramePr>
        <xdr:cNvPr id="2" name="Chart 1">
          <a:extLst>
            <a:ext uri="{FF2B5EF4-FFF2-40B4-BE49-F238E27FC236}">
              <a16:creationId xmlns:a16="http://schemas.microsoft.com/office/drawing/2014/main" id="{1964C811-427F-448F-BEA8-8E6CEAF40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609599</xdr:colOff>
      <xdr:row>9</xdr:row>
      <xdr:rowOff>0</xdr:rowOff>
    </xdr:from>
    <xdr:to>
      <xdr:col>10</xdr:col>
      <xdr:colOff>389467</xdr:colOff>
      <xdr:row>21</xdr:row>
      <xdr:rowOff>33867</xdr:rowOff>
    </xdr:to>
    <xdr:graphicFrame macro="">
      <xdr:nvGraphicFramePr>
        <xdr:cNvPr id="3" name="Chart 2">
          <a:extLst>
            <a:ext uri="{FF2B5EF4-FFF2-40B4-BE49-F238E27FC236}">
              <a16:creationId xmlns:a16="http://schemas.microsoft.com/office/drawing/2014/main" id="{30EDB862-4B37-4A72-879D-E279192BF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6</xdr:col>
      <xdr:colOff>0</xdr:colOff>
      <xdr:row>34</xdr:row>
      <xdr:rowOff>152400</xdr:rowOff>
    </xdr:to>
    <xdr:graphicFrame macro="">
      <xdr:nvGraphicFramePr>
        <xdr:cNvPr id="4" name="Chart 3">
          <a:extLst>
            <a:ext uri="{FF2B5EF4-FFF2-40B4-BE49-F238E27FC236}">
              <a16:creationId xmlns:a16="http://schemas.microsoft.com/office/drawing/2014/main" id="{7EDD88BF-837E-40A2-BC10-BF7D159B6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xdr:colOff>
      <xdr:row>21</xdr:row>
      <xdr:rowOff>175260</xdr:rowOff>
    </xdr:from>
    <xdr:to>
      <xdr:col>10</xdr:col>
      <xdr:colOff>144780</xdr:colOff>
      <xdr:row>34</xdr:row>
      <xdr:rowOff>175260</xdr:rowOff>
    </xdr:to>
    <xdr:graphicFrame macro="">
      <xdr:nvGraphicFramePr>
        <xdr:cNvPr id="5" name="Chart 4">
          <a:extLst>
            <a:ext uri="{FF2B5EF4-FFF2-40B4-BE49-F238E27FC236}">
              <a16:creationId xmlns:a16="http://schemas.microsoft.com/office/drawing/2014/main" id="{973F7215-583B-4AAB-88EE-933926BA2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137160</xdr:rowOff>
    </xdr:from>
    <xdr:to>
      <xdr:col>6</xdr:col>
      <xdr:colOff>33866</xdr:colOff>
      <xdr:row>50</xdr:row>
      <xdr:rowOff>59267</xdr:rowOff>
    </xdr:to>
    <xdr:graphicFrame macro="">
      <xdr:nvGraphicFramePr>
        <xdr:cNvPr id="6" name="Chart 5">
          <a:extLst>
            <a:ext uri="{FF2B5EF4-FFF2-40B4-BE49-F238E27FC236}">
              <a16:creationId xmlns:a16="http://schemas.microsoft.com/office/drawing/2014/main" id="{49F7DDA8-7855-4001-8AF7-758F39BF6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548640</xdr:colOff>
      <xdr:row>23</xdr:row>
      <xdr:rowOff>60959</xdr:rowOff>
    </xdr:from>
    <xdr:to>
      <xdr:col>13</xdr:col>
      <xdr:colOff>571500</xdr:colOff>
      <xdr:row>32</xdr:row>
      <xdr:rowOff>160866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CE4806A-B41A-477F-919F-542D1E854D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44640" y="4345092"/>
              <a:ext cx="1851660" cy="1776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11</xdr:row>
      <xdr:rowOff>38101</xdr:rowOff>
    </xdr:from>
    <xdr:to>
      <xdr:col>13</xdr:col>
      <xdr:colOff>571500</xdr:colOff>
      <xdr:row>20</xdr:row>
      <xdr:rowOff>106681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7F6C9D1-76DB-4DA7-AD6C-C44B9709A4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52260" y="2087034"/>
              <a:ext cx="184404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365760</xdr:colOff>
      <xdr:row>11</xdr:row>
      <xdr:rowOff>68581</xdr:rowOff>
    </xdr:from>
    <xdr:to>
      <xdr:col>17</xdr:col>
      <xdr:colOff>365760</xdr:colOff>
      <xdr:row>20</xdr:row>
      <xdr:rowOff>129541</xdr:rowOff>
    </xdr:to>
    <mc:AlternateContent xmlns:mc="http://schemas.openxmlformats.org/markup-compatibility/2006" xmlns:a14="http://schemas.microsoft.com/office/drawing/2010/main">
      <mc:Choice Requires="a14">
        <xdr:graphicFrame macro="">
          <xdr:nvGraphicFramePr>
            <xdr:cNvPr id="9" name="Payment">
              <a:extLst>
                <a:ext uri="{FF2B5EF4-FFF2-40B4-BE49-F238E27FC236}">
                  <a16:creationId xmlns:a16="http://schemas.microsoft.com/office/drawing/2014/main" id="{53480AD4-EA5F-4FF2-9885-549FAA97F5D6}"/>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900160" y="2117514"/>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335280</xdr:colOff>
      <xdr:row>23</xdr:row>
      <xdr:rowOff>76201</xdr:rowOff>
    </xdr:from>
    <xdr:to>
      <xdr:col>17</xdr:col>
      <xdr:colOff>335280</xdr:colOff>
      <xdr:row>32</xdr:row>
      <xdr:rowOff>175261</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D9C8AB12-60FD-4443-AFD3-FEFFEF68036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869680" y="4360334"/>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ika Negi" refreshedDate="46280.886058449076" createdVersion="8" refreshedVersion="8" minRefreshableVersion="3" recordCount="20" xr:uid="{C9945716-A5C1-4FC3-950E-13D41593B5ED}">
  <cacheSource type="worksheet">
    <worksheetSource name="SalesData"/>
  </cacheSource>
  <cacheFields count="11">
    <cacheField name="Order ID" numFmtId="0">
      <sharedItems/>
    </cacheField>
    <cacheField name="Date" numFmtId="164">
      <sharedItems/>
    </cacheField>
    <cacheField name="Region" numFmtId="0">
      <sharedItems count="4">
        <s v="North"/>
        <s v="West"/>
        <s v="South"/>
        <s v="East"/>
      </sharedItems>
    </cacheField>
    <cacheField name="Product" numFmtId="0">
      <sharedItems count="8">
        <s v="Laptop"/>
        <s v="Shirt"/>
        <s v="Mobile"/>
        <s v="Shoes"/>
        <s v="Headphones"/>
        <s v="Chair"/>
        <s v="Dress"/>
        <s v="Table"/>
      </sharedItems>
    </cacheField>
    <cacheField name="Category" numFmtId="0">
      <sharedItems count="3">
        <s v="Electronics"/>
        <s v="Clothing"/>
        <s v="Furniture"/>
      </sharedItems>
    </cacheField>
    <cacheField name="Quantity" numFmtId="0">
      <sharedItems containsSemiMixedTypes="0" containsString="0" containsNumber="1" containsInteger="1" minValue="1" maxValue="8"/>
    </cacheField>
    <cacheField name="Unit Price" numFmtId="165">
      <sharedItems containsSemiMixedTypes="0" containsString="0" containsNumber="1" containsInteger="1" minValue="1100" maxValue="58000"/>
    </cacheField>
    <cacheField name="Sales" numFmtId="165">
      <sharedItems containsSemiMixedTypes="0" containsString="0" containsNumber="1" containsInteger="1" minValue="6000" maxValue="112000"/>
    </cacheField>
    <cacheField name="Customer Type" numFmtId="0">
      <sharedItems count="2">
        <s v="New"/>
        <s v="Returning"/>
      </sharedItems>
    </cacheField>
    <cacheField name="Payment" numFmtId="0">
      <sharedItems count="3">
        <s v="UPI"/>
        <s v="Card"/>
        <s v="Cash"/>
      </sharedItems>
    </cacheField>
    <cacheField name="Month" numFmtId="0">
      <sharedItems count="5">
        <s v="Jan"/>
        <s v="Feb"/>
        <s v="Mar"/>
        <s v="Apr"/>
        <s v="May"/>
      </sharedItems>
    </cacheField>
  </cacheFields>
  <extLst>
    <ext xmlns:x14="http://schemas.microsoft.com/office/spreadsheetml/2009/9/main" uri="{725AE2AE-9491-48be-B2B4-4EB974FC3084}">
      <x14:pivotCacheDefinition pivotCacheId="603927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1001"/>
    <s v="05-Jan-26"/>
    <x v="0"/>
    <x v="0"/>
    <x v="0"/>
    <n v="2"/>
    <n v="55000"/>
    <n v="110000"/>
    <x v="0"/>
    <x v="0"/>
    <x v="0"/>
  </r>
  <r>
    <s v="O1002"/>
    <s v="08-Jan-26"/>
    <x v="1"/>
    <x v="1"/>
    <x v="1"/>
    <n v="5"/>
    <n v="1200"/>
    <n v="6000"/>
    <x v="1"/>
    <x v="1"/>
    <x v="0"/>
  </r>
  <r>
    <s v="O1003"/>
    <s v="12-Jan-26"/>
    <x v="2"/>
    <x v="2"/>
    <x v="0"/>
    <n v="3"/>
    <n v="18000"/>
    <n v="54000"/>
    <x v="0"/>
    <x v="0"/>
    <x v="0"/>
  </r>
  <r>
    <s v="O1004"/>
    <s v="18-Jan-26"/>
    <x v="3"/>
    <x v="3"/>
    <x v="1"/>
    <n v="4"/>
    <n v="2500"/>
    <n v="10000"/>
    <x v="1"/>
    <x v="2"/>
    <x v="0"/>
  </r>
  <r>
    <s v="O1005"/>
    <s v="25-Jan-26"/>
    <x v="0"/>
    <x v="4"/>
    <x v="0"/>
    <n v="6"/>
    <n v="1800"/>
    <n v="10800"/>
    <x v="0"/>
    <x v="1"/>
    <x v="0"/>
  </r>
  <r>
    <s v="O1006"/>
    <s v="02-Feb-26"/>
    <x v="1"/>
    <x v="5"/>
    <x v="2"/>
    <n v="2"/>
    <n v="4500"/>
    <n v="9000"/>
    <x v="1"/>
    <x v="0"/>
    <x v="1"/>
  </r>
  <r>
    <s v="O1007"/>
    <s v="09-Feb-26"/>
    <x v="2"/>
    <x v="0"/>
    <x v="0"/>
    <n v="1"/>
    <n v="58000"/>
    <n v="58000"/>
    <x v="1"/>
    <x v="1"/>
    <x v="1"/>
  </r>
  <r>
    <s v="O1008"/>
    <s v="15-Feb-26"/>
    <x v="3"/>
    <x v="6"/>
    <x v="1"/>
    <n v="3"/>
    <n v="2200"/>
    <n v="6600"/>
    <x v="0"/>
    <x v="0"/>
    <x v="1"/>
  </r>
  <r>
    <s v="O1009"/>
    <s v="22-Feb-26"/>
    <x v="0"/>
    <x v="7"/>
    <x v="2"/>
    <n v="2"/>
    <n v="7000"/>
    <n v="14000"/>
    <x v="1"/>
    <x v="2"/>
    <x v="1"/>
  </r>
  <r>
    <s v="O1010"/>
    <s v="03-Mar-26"/>
    <x v="1"/>
    <x v="2"/>
    <x v="0"/>
    <n v="4"/>
    <n v="17000"/>
    <n v="68000"/>
    <x v="0"/>
    <x v="0"/>
    <x v="2"/>
  </r>
  <r>
    <s v="O1011"/>
    <s v="10-Mar-26"/>
    <x v="2"/>
    <x v="3"/>
    <x v="1"/>
    <n v="5"/>
    <n v="2800"/>
    <n v="14000"/>
    <x v="1"/>
    <x v="1"/>
    <x v="2"/>
  </r>
  <r>
    <s v="O1012"/>
    <s v="17-Mar-26"/>
    <x v="3"/>
    <x v="4"/>
    <x v="0"/>
    <n v="8"/>
    <n v="1500"/>
    <n v="12000"/>
    <x v="0"/>
    <x v="0"/>
    <x v="2"/>
  </r>
  <r>
    <s v="O1013"/>
    <s v="25-Mar-26"/>
    <x v="0"/>
    <x v="5"/>
    <x v="2"/>
    <n v="3"/>
    <n v="5000"/>
    <n v="15000"/>
    <x v="0"/>
    <x v="1"/>
    <x v="2"/>
  </r>
  <r>
    <s v="O1014"/>
    <s v="02-Apr-26"/>
    <x v="1"/>
    <x v="1"/>
    <x v="1"/>
    <n v="7"/>
    <n v="1100"/>
    <n v="7700"/>
    <x v="1"/>
    <x v="2"/>
    <x v="3"/>
  </r>
  <r>
    <s v="O1015"/>
    <s v="09-Apr-26"/>
    <x v="2"/>
    <x v="0"/>
    <x v="0"/>
    <n v="2"/>
    <n v="56000"/>
    <n v="112000"/>
    <x v="0"/>
    <x v="0"/>
    <x v="3"/>
  </r>
  <r>
    <s v="O1016"/>
    <s v="16-Apr-26"/>
    <x v="3"/>
    <x v="7"/>
    <x v="2"/>
    <n v="1"/>
    <n v="7500"/>
    <n v="7500"/>
    <x v="1"/>
    <x v="1"/>
    <x v="3"/>
  </r>
  <r>
    <s v="O1017"/>
    <s v="23-Apr-26"/>
    <x v="0"/>
    <x v="2"/>
    <x v="0"/>
    <n v="2"/>
    <n v="19000"/>
    <n v="38000"/>
    <x v="0"/>
    <x v="0"/>
    <x v="3"/>
  </r>
  <r>
    <s v="O1018"/>
    <s v="30-Apr-26"/>
    <x v="1"/>
    <x v="6"/>
    <x v="1"/>
    <n v="4"/>
    <n v="2000"/>
    <n v="8000"/>
    <x v="1"/>
    <x v="1"/>
    <x v="3"/>
  </r>
  <r>
    <s v="O1019"/>
    <s v="07-May-26"/>
    <x v="2"/>
    <x v="5"/>
    <x v="2"/>
    <n v="2"/>
    <n v="4800"/>
    <n v="9600"/>
    <x v="0"/>
    <x v="2"/>
    <x v="4"/>
  </r>
  <r>
    <s v="O1020"/>
    <s v="14-May-26"/>
    <x v="3"/>
    <x v="3"/>
    <x v="1"/>
    <n v="6"/>
    <n v="2600"/>
    <n v="15600"/>
    <x v="1"/>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04DBD3-4D0D-497A-AC32-19364BCE2D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2:E5" firstHeaderRow="1" firstDataRow="1" firstDataCol="1"/>
  <pivotFields count="11">
    <pivotField showAll="0"/>
    <pivotField showAll="0"/>
    <pivotField showAll="0">
      <items count="5">
        <item x="3"/>
        <item x="0"/>
        <item x="2"/>
        <item x="1"/>
        <item t="default"/>
      </items>
    </pivotField>
    <pivotField showAll="0"/>
    <pivotField showAll="0">
      <items count="4">
        <item x="1"/>
        <item x="0"/>
        <item x="2"/>
        <item t="default"/>
      </items>
    </pivotField>
    <pivotField showAll="0"/>
    <pivotField numFmtId="165" showAll="0"/>
    <pivotField dataField="1" numFmtId="165" showAll="0"/>
    <pivotField axis="axisRow" showAll="0">
      <items count="3">
        <item x="0"/>
        <item x="1"/>
        <item t="default"/>
      </items>
    </pivotField>
    <pivotField showAll="0">
      <items count="4">
        <item x="1"/>
        <item x="2"/>
        <item x="0"/>
        <item t="default"/>
      </items>
    </pivotField>
    <pivotField showAll="0"/>
  </pivotFields>
  <rowFields count="1">
    <field x="8"/>
  </rowFields>
  <rowItems count="3">
    <i>
      <x/>
    </i>
    <i>
      <x v="1"/>
    </i>
    <i t="grand">
      <x/>
    </i>
  </rowItems>
  <colItems count="1">
    <i/>
  </colItems>
  <dataFields count="1">
    <dataField name="Sum of Sales" fld="7"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F028EF-6524-4ACF-B306-606CEEB594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6" firstHeaderRow="1" firstDataRow="1" firstDataCol="1"/>
  <pivotFields count="11">
    <pivotField showAll="0"/>
    <pivotField showAll="0"/>
    <pivotField showAll="0">
      <items count="5">
        <item x="3"/>
        <item x="0"/>
        <item x="2"/>
        <item x="1"/>
        <item t="default"/>
      </items>
    </pivotField>
    <pivotField showAll="0"/>
    <pivotField axis="axisRow" showAll="0">
      <items count="4">
        <item x="1"/>
        <item x="0"/>
        <item x="2"/>
        <item t="default"/>
      </items>
    </pivotField>
    <pivotField showAll="0"/>
    <pivotField numFmtId="165" showAll="0"/>
    <pivotField dataField="1" numFmtId="165" showAll="0"/>
    <pivotField showAll="0">
      <items count="3">
        <item x="0"/>
        <item x="1"/>
        <item t="default"/>
      </items>
    </pivotField>
    <pivotField showAll="0">
      <items count="4">
        <item x="1"/>
        <item x="2"/>
        <item x="0"/>
        <item t="default"/>
      </items>
    </pivotField>
    <pivotField showAll="0"/>
  </pivotFields>
  <rowFields count="1">
    <field x="4"/>
  </rowFields>
  <rowItems count="4">
    <i>
      <x/>
    </i>
    <i>
      <x v="1"/>
    </i>
    <i>
      <x v="2"/>
    </i>
    <i t="grand">
      <x/>
    </i>
  </rowItems>
  <colItems count="1">
    <i/>
  </colItems>
  <dataFields count="1">
    <dataField name="Sum of Sales" fld="7" baseField="0" baseItem="0" numFmtId="165"/>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AECA9E-6514-4A3C-95D6-3514CEA031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26" firstHeaderRow="1" firstDataRow="1" firstDataCol="1"/>
  <pivotFields count="11">
    <pivotField showAll="0"/>
    <pivotField showAll="0"/>
    <pivotField showAll="0">
      <items count="5">
        <item x="3"/>
        <item x="0"/>
        <item x="2"/>
        <item x="1"/>
        <item t="default"/>
      </items>
    </pivotField>
    <pivotField showAll="0"/>
    <pivotField showAll="0">
      <items count="4">
        <item x="1"/>
        <item x="0"/>
        <item x="2"/>
        <item t="default"/>
      </items>
    </pivotField>
    <pivotField showAll="0"/>
    <pivotField numFmtId="165" showAll="0"/>
    <pivotField dataField="1" numFmtId="165" showAll="0"/>
    <pivotField showAll="0">
      <items count="3">
        <item x="0"/>
        <item x="1"/>
        <item t="default"/>
      </items>
    </pivotField>
    <pivotField showAll="0">
      <items count="4">
        <item x="1"/>
        <item x="2"/>
        <item x="0"/>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Sum of Sales" fld="7"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59D4EC-FE98-42BF-8953-A13409BDE4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11">
    <pivotField showAll="0"/>
    <pivotField showAll="0"/>
    <pivotField axis="axisRow" showAll="0">
      <items count="5">
        <item x="3"/>
        <item x="0"/>
        <item x="2"/>
        <item x="1"/>
        <item t="default"/>
      </items>
    </pivotField>
    <pivotField showAll="0"/>
    <pivotField showAll="0">
      <items count="4">
        <item x="1"/>
        <item x="0"/>
        <item x="2"/>
        <item t="default"/>
      </items>
    </pivotField>
    <pivotField showAll="0"/>
    <pivotField numFmtId="165" showAll="0"/>
    <pivotField dataField="1" numFmtId="165" showAll="0"/>
    <pivotField showAll="0">
      <items count="3">
        <item x="0"/>
        <item x="1"/>
        <item t="default"/>
      </items>
    </pivotField>
    <pivotField showAll="0">
      <items count="4">
        <item x="1"/>
        <item x="2"/>
        <item x="0"/>
        <item t="default"/>
      </items>
    </pivotField>
    <pivotField showAll="0"/>
  </pivotFields>
  <rowFields count="1">
    <field x="2"/>
  </rowFields>
  <rowItems count="5">
    <i>
      <x/>
    </i>
    <i>
      <x v="1"/>
    </i>
    <i>
      <x v="2"/>
    </i>
    <i>
      <x v="3"/>
    </i>
    <i t="grand">
      <x/>
    </i>
  </rowItems>
  <colItems count="1">
    <i/>
  </colItems>
  <dataFields count="1">
    <dataField name="Sum of Sales" fld="7" baseField="0" baseItem="0" numFmtId="165"/>
  </dataFields>
  <chartFormats count="5">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2" count="1" selected="0">
            <x v="1"/>
          </reference>
        </references>
      </pivotArea>
    </chartFormat>
    <chartFormat chart="14" format="4">
      <pivotArea type="data" outline="0" fieldPosition="0">
        <references count="2">
          <reference field="4294967294" count="1" selected="0">
            <x v="0"/>
          </reference>
          <reference field="2" count="1" selected="0">
            <x v="2"/>
          </reference>
        </references>
      </pivotArea>
    </chartFormat>
    <chartFormat chart="14" format="5">
      <pivotArea type="data" outline="0" fieldPosition="0">
        <references count="2">
          <reference field="4294967294" count="1" selected="0">
            <x v="0"/>
          </reference>
          <reference field="2" count="1" selected="0">
            <x v="3"/>
          </reference>
        </references>
      </pivotArea>
    </chartFormat>
    <chartFormat chart="14"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314A4-3638-478F-B8B2-222C8F2FAD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9" firstHeaderRow="1" firstDataRow="1" firstDataCol="1"/>
  <pivotFields count="11">
    <pivotField showAll="0"/>
    <pivotField showAll="0"/>
    <pivotField showAll="0">
      <items count="5">
        <item x="3"/>
        <item x="0"/>
        <item x="2"/>
        <item x="1"/>
        <item t="default"/>
      </items>
    </pivotField>
    <pivotField axis="axisRow" showAll="0">
      <items count="9">
        <item x="5"/>
        <item x="6"/>
        <item x="4"/>
        <item x="0"/>
        <item x="2"/>
        <item x="1"/>
        <item x="3"/>
        <item x="7"/>
        <item t="default"/>
      </items>
    </pivotField>
    <pivotField showAll="0">
      <items count="4">
        <item x="1"/>
        <item x="0"/>
        <item x="2"/>
        <item t="default"/>
      </items>
    </pivotField>
    <pivotField showAll="0"/>
    <pivotField numFmtId="165" showAll="0"/>
    <pivotField dataField="1" numFmtId="165" showAll="0"/>
    <pivotField showAll="0">
      <items count="3">
        <item x="0"/>
        <item x="1"/>
        <item t="default"/>
      </items>
    </pivotField>
    <pivotField showAll="0">
      <items count="4">
        <item x="1"/>
        <item x="2"/>
        <item x="0"/>
        <item t="default"/>
      </items>
    </pivotField>
    <pivotField showAll="0"/>
  </pivotFields>
  <rowFields count="1">
    <field x="3"/>
  </rowFields>
  <rowItems count="9">
    <i>
      <x/>
    </i>
    <i>
      <x v="1"/>
    </i>
    <i>
      <x v="2"/>
    </i>
    <i>
      <x v="3"/>
    </i>
    <i>
      <x v="4"/>
    </i>
    <i>
      <x v="5"/>
    </i>
    <i>
      <x v="6"/>
    </i>
    <i>
      <x v="7"/>
    </i>
    <i t="grand">
      <x/>
    </i>
  </rowItems>
  <colItems count="1">
    <i/>
  </colItems>
  <dataFields count="1">
    <dataField name="Sum of Sales" fld="7"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637FF2-8AEB-429C-AE7A-99C62D25FA7F}" sourceName="Category">
  <pivotTables>
    <pivotTable tabId="3" name="PivotTable1"/>
    <pivotTable tabId="3" name="PivotTable2"/>
    <pivotTable tabId="3" name="PivotTable3"/>
    <pivotTable tabId="3" name="PivotTable4"/>
    <pivotTable tabId="3" name="PivotTable6"/>
  </pivotTables>
  <data>
    <tabular pivotCacheId="60392763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55C6D7-28D4-4568-9F4C-6F25FD37303B}" sourceName="Region">
  <pivotTables>
    <pivotTable tabId="3" name="PivotTable1"/>
    <pivotTable tabId="3" name="PivotTable2"/>
    <pivotTable tabId="3" name="PivotTable3"/>
    <pivotTable tabId="3" name="PivotTable4"/>
    <pivotTable tabId="3" name="PivotTable6"/>
  </pivotTables>
  <data>
    <tabular pivotCacheId="603927636">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724A40A4-5A1B-49CD-B3E4-4F66FCC4EADA}" sourceName="Payment">
  <pivotTables>
    <pivotTable tabId="3" name="PivotTable1"/>
    <pivotTable tabId="3" name="PivotTable2"/>
    <pivotTable tabId="3" name="PivotTable3"/>
    <pivotTable tabId="3" name="PivotTable4"/>
    <pivotTable tabId="3" name="PivotTable6"/>
  </pivotTables>
  <data>
    <tabular pivotCacheId="60392763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80DE940-A010-49F2-B7D5-4A081671FED2}" sourceName="Customer Type">
  <pivotTables>
    <pivotTable tabId="3" name="PivotTable1"/>
    <pivotTable tabId="3" name="PivotTable2"/>
    <pivotTable tabId="3" name="PivotTable3"/>
    <pivotTable tabId="3" name="PivotTable4"/>
    <pivotTable tabId="3" name="PivotTable6"/>
  </pivotTables>
  <data>
    <tabular pivotCacheId="60392763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4373651-92AB-4D5C-826A-075FB51CB164}" cache="Slicer_Category" caption="Category" style="SlicerStyleLight3" rowHeight="234950"/>
  <slicer name="Region" xr10:uid="{15845A8D-0912-4D1B-BE54-9FBBD183F454}" cache="Slicer_Region" caption="Region" style="SlicerStyleLight5" rowHeight="234950"/>
  <slicer name="Payment" xr10:uid="{3FBFB374-06BF-47C8-A6F2-98D569130730}" cache="Slicer_Payment" caption="Payment" style="SlicerStyleLight4" rowHeight="234950"/>
  <slicer name="Customer Type" xr10:uid="{BC16B26B-4E58-406A-BB67-F474005FE0A5}" cache="Slicer_Customer_Type" caption="Customer Type"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21">
  <autoFilter ref="A1:K21" xr:uid="{00000000-0009-0000-0100-000001000000}"/>
  <tableColumns count="11">
    <tableColumn id="1" xr3:uid="{00000000-0010-0000-0000-000001000000}" name="Order ID"/>
    <tableColumn id="2" xr3:uid="{00000000-0010-0000-0000-000002000000}" name="Date"/>
    <tableColumn id="3" xr3:uid="{00000000-0010-0000-0000-000003000000}" name="Region"/>
    <tableColumn id="4" xr3:uid="{00000000-0010-0000-0000-000004000000}" name="Product"/>
    <tableColumn id="5" xr3:uid="{00000000-0010-0000-0000-000005000000}" name="Category"/>
    <tableColumn id="6" xr3:uid="{00000000-0010-0000-0000-000006000000}" name="Quantity"/>
    <tableColumn id="7" xr3:uid="{00000000-0010-0000-0000-000007000000}" name="Unit Price"/>
    <tableColumn id="8" xr3:uid="{00000000-0010-0000-0000-000008000000}" name="Sales"/>
    <tableColumn id="9" xr3:uid="{00000000-0010-0000-0000-000009000000}" name="Customer Type"/>
    <tableColumn id="10" xr3:uid="{00000000-0010-0000-0000-00000A000000}" name="Payment"/>
    <tableColumn id="11" xr3:uid="{EC3528CC-6004-4DEE-B441-25D9FF0F7D42}" name="Month" dataDxfId="0">
      <calculatedColumnFormula>TEXT(B2,"mmm")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68A4-8EEA-4941-9DC4-522D6D0DC3E1}">
  <dimension ref="A2:E29"/>
  <sheetViews>
    <sheetView topLeftCell="A16" workbookViewId="0">
      <selection activeCell="B5" sqref="B5"/>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s>
  <sheetData>
    <row r="2" spans="1:5" x14ac:dyDescent="0.3">
      <c r="D2" s="5" t="s">
        <v>70</v>
      </c>
      <c r="E2" t="s">
        <v>72</v>
      </c>
    </row>
    <row r="3" spans="1:5" x14ac:dyDescent="0.3">
      <c r="A3" s="5" t="s">
        <v>70</v>
      </c>
      <c r="B3" t="s">
        <v>72</v>
      </c>
      <c r="D3" s="6" t="s">
        <v>15</v>
      </c>
      <c r="E3" s="3">
        <v>436000</v>
      </c>
    </row>
    <row r="4" spans="1:5" x14ac:dyDescent="0.3">
      <c r="A4" s="6" t="s">
        <v>30</v>
      </c>
      <c r="B4" s="3">
        <v>51700</v>
      </c>
      <c r="D4" s="6" t="s">
        <v>22</v>
      </c>
      <c r="E4" s="3">
        <v>149800</v>
      </c>
    </row>
    <row r="5" spans="1:5" x14ac:dyDescent="0.3">
      <c r="A5" s="6" t="s">
        <v>12</v>
      </c>
      <c r="B5" s="3">
        <v>187800</v>
      </c>
      <c r="D5" s="6" t="s">
        <v>71</v>
      </c>
      <c r="E5" s="3">
        <v>585800</v>
      </c>
    </row>
    <row r="6" spans="1:5" x14ac:dyDescent="0.3">
      <c r="A6" s="6" t="s">
        <v>26</v>
      </c>
      <c r="B6" s="3">
        <v>247600</v>
      </c>
    </row>
    <row r="7" spans="1:5" x14ac:dyDescent="0.3">
      <c r="A7" s="6" t="s">
        <v>19</v>
      </c>
      <c r="B7" s="3">
        <v>98700</v>
      </c>
    </row>
    <row r="8" spans="1:5" x14ac:dyDescent="0.3">
      <c r="A8" s="6" t="s">
        <v>71</v>
      </c>
      <c r="B8" s="3">
        <v>585800</v>
      </c>
    </row>
    <row r="12" spans="1:5" x14ac:dyDescent="0.3">
      <c r="A12" s="5" t="s">
        <v>70</v>
      </c>
      <c r="B12" t="s">
        <v>72</v>
      </c>
    </row>
    <row r="13" spans="1:5" x14ac:dyDescent="0.3">
      <c r="A13" s="6" t="s">
        <v>21</v>
      </c>
      <c r="B13" s="3">
        <v>67900</v>
      </c>
    </row>
    <row r="14" spans="1:5" x14ac:dyDescent="0.3">
      <c r="A14" s="6" t="s">
        <v>14</v>
      </c>
      <c r="B14" s="3">
        <v>462800</v>
      </c>
    </row>
    <row r="15" spans="1:5" x14ac:dyDescent="0.3">
      <c r="A15" s="6" t="s">
        <v>39</v>
      </c>
      <c r="B15" s="3">
        <v>55100</v>
      </c>
    </row>
    <row r="16" spans="1:5" x14ac:dyDescent="0.3">
      <c r="A16" s="6" t="s">
        <v>71</v>
      </c>
      <c r="B16" s="3">
        <v>585800</v>
      </c>
    </row>
    <row r="20" spans="1:5" x14ac:dyDescent="0.3">
      <c r="A20" s="5" t="s">
        <v>70</v>
      </c>
      <c r="B20" t="s">
        <v>72</v>
      </c>
      <c r="D20" s="5" t="s">
        <v>70</v>
      </c>
      <c r="E20" t="s">
        <v>72</v>
      </c>
    </row>
    <row r="21" spans="1:5" x14ac:dyDescent="0.3">
      <c r="A21" s="6" t="s">
        <v>38</v>
      </c>
      <c r="B21" s="3">
        <v>33600</v>
      </c>
      <c r="D21" s="6" t="s">
        <v>74</v>
      </c>
      <c r="E21" s="3">
        <v>190800</v>
      </c>
    </row>
    <row r="22" spans="1:5" x14ac:dyDescent="0.3">
      <c r="A22" s="6" t="s">
        <v>44</v>
      </c>
      <c r="B22" s="3">
        <v>14600</v>
      </c>
      <c r="D22" s="6" t="s">
        <v>75</v>
      </c>
      <c r="E22" s="3">
        <v>87600</v>
      </c>
    </row>
    <row r="23" spans="1:5" x14ac:dyDescent="0.3">
      <c r="A23" s="6" t="s">
        <v>35</v>
      </c>
      <c r="B23" s="3">
        <v>22800</v>
      </c>
      <c r="D23" s="6" t="s">
        <v>76</v>
      </c>
      <c r="E23" s="3">
        <v>109000</v>
      </c>
    </row>
    <row r="24" spans="1:5" x14ac:dyDescent="0.3">
      <c r="A24" s="6" t="s">
        <v>13</v>
      </c>
      <c r="B24" s="3">
        <v>280000</v>
      </c>
      <c r="D24" s="6" t="s">
        <v>77</v>
      </c>
      <c r="E24" s="3">
        <v>173200</v>
      </c>
    </row>
    <row r="25" spans="1:5" x14ac:dyDescent="0.3">
      <c r="A25" s="6" t="s">
        <v>27</v>
      </c>
      <c r="B25" s="3">
        <v>160000</v>
      </c>
      <c r="D25" s="6" t="s">
        <v>78</v>
      </c>
      <c r="E25" s="3">
        <v>25200</v>
      </c>
    </row>
    <row r="26" spans="1:5" x14ac:dyDescent="0.3">
      <c r="A26" s="6" t="s">
        <v>20</v>
      </c>
      <c r="B26" s="3">
        <v>13700</v>
      </c>
      <c r="D26" s="6" t="s">
        <v>71</v>
      </c>
      <c r="E26" s="3">
        <v>585800</v>
      </c>
    </row>
    <row r="27" spans="1:5" x14ac:dyDescent="0.3">
      <c r="A27" s="6" t="s">
        <v>31</v>
      </c>
      <c r="B27" s="3">
        <v>39600</v>
      </c>
    </row>
    <row r="28" spans="1:5" x14ac:dyDescent="0.3">
      <c r="A28" s="6" t="s">
        <v>47</v>
      </c>
      <c r="B28" s="3">
        <v>21500</v>
      </c>
    </row>
    <row r="29" spans="1:5" x14ac:dyDescent="0.3">
      <c r="A29" s="6" t="s">
        <v>71</v>
      </c>
      <c r="B29" s="3">
        <v>585800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workbookViewId="0">
      <pane ySplit="1" topLeftCell="A2" activePane="bottomLeft" state="frozen"/>
      <selection pane="bottomLeft" activeCell="K21" sqref="K21"/>
    </sheetView>
  </sheetViews>
  <sheetFormatPr defaultRowHeight="14.4" x14ac:dyDescent="0.3"/>
  <cols>
    <col min="1" max="1" width="12" customWidth="1"/>
    <col min="2" max="2" width="13" customWidth="1"/>
    <col min="3" max="3" width="12" customWidth="1"/>
    <col min="4" max="5" width="15" customWidth="1"/>
    <col min="6" max="6" width="10" customWidth="1"/>
    <col min="7" max="8" width="14" customWidth="1"/>
    <col min="9" max="9" width="16" customWidth="1"/>
    <col min="10" max="10" width="12" customWidth="1"/>
  </cols>
  <sheetData>
    <row r="1" spans="1:11" x14ac:dyDescent="0.3">
      <c r="A1" s="4" t="s">
        <v>0</v>
      </c>
      <c r="B1" s="1" t="s">
        <v>1</v>
      </c>
      <c r="C1" s="1" t="s">
        <v>2</v>
      </c>
      <c r="D1" s="1" t="s">
        <v>3</v>
      </c>
      <c r="E1" s="1" t="s">
        <v>4</v>
      </c>
      <c r="F1" s="1" t="s">
        <v>5</v>
      </c>
      <c r="G1" s="1" t="s">
        <v>6</v>
      </c>
      <c r="H1" s="1" t="s">
        <v>7</v>
      </c>
      <c r="I1" s="1" t="s">
        <v>8</v>
      </c>
      <c r="J1" s="1" t="s">
        <v>9</v>
      </c>
      <c r="K1" t="s">
        <v>73</v>
      </c>
    </row>
    <row r="2" spans="1:11" x14ac:dyDescent="0.3">
      <c r="A2" t="s">
        <v>10</v>
      </c>
      <c r="B2" s="2" t="s">
        <v>11</v>
      </c>
      <c r="C2" t="s">
        <v>12</v>
      </c>
      <c r="D2" t="s">
        <v>13</v>
      </c>
      <c r="E2" t="s">
        <v>14</v>
      </c>
      <c r="F2">
        <v>2</v>
      </c>
      <c r="G2" s="3">
        <v>55000</v>
      </c>
      <c r="H2" s="3">
        <v>110000</v>
      </c>
      <c r="I2" t="s">
        <v>15</v>
      </c>
      <c r="J2" t="s">
        <v>16</v>
      </c>
      <c r="K2" t="str">
        <f t="shared" ref="K2:K21" si="0">TEXT(B2,"mmm")</f>
        <v>Jan</v>
      </c>
    </row>
    <row r="3" spans="1:11" x14ac:dyDescent="0.3">
      <c r="A3" t="s">
        <v>17</v>
      </c>
      <c r="B3" s="2" t="s">
        <v>18</v>
      </c>
      <c r="C3" t="s">
        <v>19</v>
      </c>
      <c r="D3" t="s">
        <v>20</v>
      </c>
      <c r="E3" t="s">
        <v>21</v>
      </c>
      <c r="F3">
        <v>5</v>
      </c>
      <c r="G3" s="3">
        <v>1200</v>
      </c>
      <c r="H3" s="3">
        <v>6000</v>
      </c>
      <c r="I3" t="s">
        <v>22</v>
      </c>
      <c r="J3" t="s">
        <v>23</v>
      </c>
      <c r="K3" t="str">
        <f t="shared" si="0"/>
        <v>Jan</v>
      </c>
    </row>
    <row r="4" spans="1:11" x14ac:dyDescent="0.3">
      <c r="A4" t="s">
        <v>24</v>
      </c>
      <c r="B4" s="2" t="s">
        <v>25</v>
      </c>
      <c r="C4" t="s">
        <v>26</v>
      </c>
      <c r="D4" t="s">
        <v>27</v>
      </c>
      <c r="E4" t="s">
        <v>14</v>
      </c>
      <c r="F4">
        <v>3</v>
      </c>
      <c r="G4" s="3">
        <v>18000</v>
      </c>
      <c r="H4" s="3">
        <v>54000</v>
      </c>
      <c r="I4" t="s">
        <v>15</v>
      </c>
      <c r="J4" t="s">
        <v>16</v>
      </c>
      <c r="K4" t="str">
        <f t="shared" si="0"/>
        <v>Jan</v>
      </c>
    </row>
    <row r="5" spans="1:11" x14ac:dyDescent="0.3">
      <c r="A5" t="s">
        <v>28</v>
      </c>
      <c r="B5" s="2" t="s">
        <v>29</v>
      </c>
      <c r="C5" t="s">
        <v>30</v>
      </c>
      <c r="D5" t="s">
        <v>31</v>
      </c>
      <c r="E5" t="s">
        <v>21</v>
      </c>
      <c r="F5">
        <v>4</v>
      </c>
      <c r="G5" s="3">
        <v>2500</v>
      </c>
      <c r="H5" s="3">
        <v>10000</v>
      </c>
      <c r="I5" t="s">
        <v>22</v>
      </c>
      <c r="J5" t="s">
        <v>32</v>
      </c>
      <c r="K5" t="str">
        <f t="shared" si="0"/>
        <v>Jan</v>
      </c>
    </row>
    <row r="6" spans="1:11" x14ac:dyDescent="0.3">
      <c r="A6" t="s">
        <v>33</v>
      </c>
      <c r="B6" s="2" t="s">
        <v>34</v>
      </c>
      <c r="C6" t="s">
        <v>12</v>
      </c>
      <c r="D6" t="s">
        <v>35</v>
      </c>
      <c r="E6" t="s">
        <v>14</v>
      </c>
      <c r="F6">
        <v>6</v>
      </c>
      <c r="G6" s="3">
        <v>1800</v>
      </c>
      <c r="H6" s="3">
        <v>10800</v>
      </c>
      <c r="I6" t="s">
        <v>15</v>
      </c>
      <c r="J6" t="s">
        <v>23</v>
      </c>
      <c r="K6" t="str">
        <f t="shared" si="0"/>
        <v>Jan</v>
      </c>
    </row>
    <row r="7" spans="1:11" x14ac:dyDescent="0.3">
      <c r="A7" t="s">
        <v>36</v>
      </c>
      <c r="B7" s="2" t="s">
        <v>37</v>
      </c>
      <c r="C7" t="s">
        <v>19</v>
      </c>
      <c r="D7" t="s">
        <v>38</v>
      </c>
      <c r="E7" t="s">
        <v>39</v>
      </c>
      <c r="F7">
        <v>2</v>
      </c>
      <c r="G7" s="3">
        <v>4500</v>
      </c>
      <c r="H7" s="3">
        <v>9000</v>
      </c>
      <c r="I7" t="s">
        <v>22</v>
      </c>
      <c r="J7" t="s">
        <v>16</v>
      </c>
      <c r="K7" t="str">
        <f t="shared" si="0"/>
        <v>Feb</v>
      </c>
    </row>
    <row r="8" spans="1:11" x14ac:dyDescent="0.3">
      <c r="A8" t="s">
        <v>40</v>
      </c>
      <c r="B8" s="2" t="s">
        <v>41</v>
      </c>
      <c r="C8" t="s">
        <v>26</v>
      </c>
      <c r="D8" t="s">
        <v>13</v>
      </c>
      <c r="E8" t="s">
        <v>14</v>
      </c>
      <c r="F8">
        <v>1</v>
      </c>
      <c r="G8" s="3">
        <v>58000</v>
      </c>
      <c r="H8" s="3">
        <v>58000</v>
      </c>
      <c r="I8" t="s">
        <v>22</v>
      </c>
      <c r="J8" t="s">
        <v>23</v>
      </c>
      <c r="K8" t="str">
        <f t="shared" si="0"/>
        <v>Feb</v>
      </c>
    </row>
    <row r="9" spans="1:11" x14ac:dyDescent="0.3">
      <c r="A9" t="s">
        <v>42</v>
      </c>
      <c r="B9" s="2" t="s">
        <v>43</v>
      </c>
      <c r="C9" t="s">
        <v>30</v>
      </c>
      <c r="D9" t="s">
        <v>44</v>
      </c>
      <c r="E9" t="s">
        <v>21</v>
      </c>
      <c r="F9">
        <v>3</v>
      </c>
      <c r="G9" s="3">
        <v>2200</v>
      </c>
      <c r="H9" s="3">
        <v>6600</v>
      </c>
      <c r="I9" t="s">
        <v>15</v>
      </c>
      <c r="J9" t="s">
        <v>16</v>
      </c>
      <c r="K9" t="str">
        <f t="shared" si="0"/>
        <v>Feb</v>
      </c>
    </row>
    <row r="10" spans="1:11" x14ac:dyDescent="0.3">
      <c r="A10" t="s">
        <v>45</v>
      </c>
      <c r="B10" s="2" t="s">
        <v>46</v>
      </c>
      <c r="C10" t="s">
        <v>12</v>
      </c>
      <c r="D10" t="s">
        <v>47</v>
      </c>
      <c r="E10" t="s">
        <v>39</v>
      </c>
      <c r="F10">
        <v>2</v>
      </c>
      <c r="G10" s="3">
        <v>7000</v>
      </c>
      <c r="H10" s="3">
        <v>14000</v>
      </c>
      <c r="I10" t="s">
        <v>22</v>
      </c>
      <c r="J10" t="s">
        <v>32</v>
      </c>
      <c r="K10" t="str">
        <f t="shared" si="0"/>
        <v>Feb</v>
      </c>
    </row>
    <row r="11" spans="1:11" x14ac:dyDescent="0.3">
      <c r="A11" t="s">
        <v>48</v>
      </c>
      <c r="B11" s="2" t="s">
        <v>49</v>
      </c>
      <c r="C11" t="s">
        <v>19</v>
      </c>
      <c r="D11" t="s">
        <v>27</v>
      </c>
      <c r="E11" t="s">
        <v>14</v>
      </c>
      <c r="F11">
        <v>4</v>
      </c>
      <c r="G11" s="3">
        <v>17000</v>
      </c>
      <c r="H11" s="3">
        <v>68000</v>
      </c>
      <c r="I11" t="s">
        <v>15</v>
      </c>
      <c r="J11" t="s">
        <v>16</v>
      </c>
      <c r="K11" t="str">
        <f t="shared" si="0"/>
        <v>Mar</v>
      </c>
    </row>
    <row r="12" spans="1:11" x14ac:dyDescent="0.3">
      <c r="A12" t="s">
        <v>50</v>
      </c>
      <c r="B12" s="2" t="s">
        <v>51</v>
      </c>
      <c r="C12" t="s">
        <v>26</v>
      </c>
      <c r="D12" t="s">
        <v>31</v>
      </c>
      <c r="E12" t="s">
        <v>21</v>
      </c>
      <c r="F12">
        <v>5</v>
      </c>
      <c r="G12" s="3">
        <v>2800</v>
      </c>
      <c r="H12" s="3">
        <v>14000</v>
      </c>
      <c r="I12" t="s">
        <v>22</v>
      </c>
      <c r="J12" t="s">
        <v>23</v>
      </c>
      <c r="K12" t="str">
        <f t="shared" si="0"/>
        <v>Mar</v>
      </c>
    </row>
    <row r="13" spans="1:11" x14ac:dyDescent="0.3">
      <c r="A13" t="s">
        <v>52</v>
      </c>
      <c r="B13" s="2" t="s">
        <v>53</v>
      </c>
      <c r="C13" t="s">
        <v>30</v>
      </c>
      <c r="D13" t="s">
        <v>35</v>
      </c>
      <c r="E13" t="s">
        <v>14</v>
      </c>
      <c r="F13">
        <v>8</v>
      </c>
      <c r="G13" s="3">
        <v>1500</v>
      </c>
      <c r="H13" s="3">
        <v>12000</v>
      </c>
      <c r="I13" t="s">
        <v>15</v>
      </c>
      <c r="J13" t="s">
        <v>16</v>
      </c>
      <c r="K13" t="str">
        <f t="shared" si="0"/>
        <v>Mar</v>
      </c>
    </row>
    <row r="14" spans="1:11" x14ac:dyDescent="0.3">
      <c r="A14" t="s">
        <v>54</v>
      </c>
      <c r="B14" s="2" t="s">
        <v>55</v>
      </c>
      <c r="C14" t="s">
        <v>12</v>
      </c>
      <c r="D14" t="s">
        <v>38</v>
      </c>
      <c r="E14" t="s">
        <v>39</v>
      </c>
      <c r="F14">
        <v>3</v>
      </c>
      <c r="G14" s="3">
        <v>5000</v>
      </c>
      <c r="H14" s="3">
        <v>15000</v>
      </c>
      <c r="I14" t="s">
        <v>15</v>
      </c>
      <c r="J14" t="s">
        <v>23</v>
      </c>
      <c r="K14" t="str">
        <f t="shared" si="0"/>
        <v>Mar</v>
      </c>
    </row>
    <row r="15" spans="1:11" x14ac:dyDescent="0.3">
      <c r="A15" t="s">
        <v>56</v>
      </c>
      <c r="B15" s="2" t="s">
        <v>57</v>
      </c>
      <c r="C15" t="s">
        <v>19</v>
      </c>
      <c r="D15" t="s">
        <v>20</v>
      </c>
      <c r="E15" t="s">
        <v>21</v>
      </c>
      <c r="F15">
        <v>7</v>
      </c>
      <c r="G15" s="3">
        <v>1100</v>
      </c>
      <c r="H15" s="3">
        <v>7700</v>
      </c>
      <c r="I15" t="s">
        <v>22</v>
      </c>
      <c r="J15" t="s">
        <v>32</v>
      </c>
      <c r="K15" t="str">
        <f t="shared" si="0"/>
        <v>Apr</v>
      </c>
    </row>
    <row r="16" spans="1:11" x14ac:dyDescent="0.3">
      <c r="A16" t="s">
        <v>58</v>
      </c>
      <c r="B16" s="2" t="s">
        <v>59</v>
      </c>
      <c r="C16" t="s">
        <v>26</v>
      </c>
      <c r="D16" t="s">
        <v>13</v>
      </c>
      <c r="E16" t="s">
        <v>14</v>
      </c>
      <c r="F16">
        <v>2</v>
      </c>
      <c r="G16" s="3">
        <v>56000</v>
      </c>
      <c r="H16" s="3">
        <v>112000</v>
      </c>
      <c r="I16" t="s">
        <v>15</v>
      </c>
      <c r="J16" t="s">
        <v>16</v>
      </c>
      <c r="K16" t="str">
        <f t="shared" si="0"/>
        <v>Apr</v>
      </c>
    </row>
    <row r="17" spans="1:11" x14ac:dyDescent="0.3">
      <c r="A17" t="s">
        <v>60</v>
      </c>
      <c r="B17" s="2" t="s">
        <v>61</v>
      </c>
      <c r="C17" t="s">
        <v>30</v>
      </c>
      <c r="D17" t="s">
        <v>47</v>
      </c>
      <c r="E17" t="s">
        <v>39</v>
      </c>
      <c r="F17">
        <v>1</v>
      </c>
      <c r="G17" s="3">
        <v>7500</v>
      </c>
      <c r="H17" s="3">
        <v>7500</v>
      </c>
      <c r="I17" t="s">
        <v>22</v>
      </c>
      <c r="J17" t="s">
        <v>23</v>
      </c>
      <c r="K17" t="str">
        <f t="shared" si="0"/>
        <v>Apr</v>
      </c>
    </row>
    <row r="18" spans="1:11" x14ac:dyDescent="0.3">
      <c r="A18" t="s">
        <v>62</v>
      </c>
      <c r="B18" s="2" t="s">
        <v>63</v>
      </c>
      <c r="C18" t="s">
        <v>12</v>
      </c>
      <c r="D18" t="s">
        <v>27</v>
      </c>
      <c r="E18" t="s">
        <v>14</v>
      </c>
      <c r="F18">
        <v>2</v>
      </c>
      <c r="G18" s="3">
        <v>19000</v>
      </c>
      <c r="H18" s="3">
        <v>38000</v>
      </c>
      <c r="I18" t="s">
        <v>15</v>
      </c>
      <c r="J18" t="s">
        <v>16</v>
      </c>
      <c r="K18" t="str">
        <f t="shared" si="0"/>
        <v>Apr</v>
      </c>
    </row>
    <row r="19" spans="1:11" x14ac:dyDescent="0.3">
      <c r="A19" t="s">
        <v>64</v>
      </c>
      <c r="B19" s="2" t="s">
        <v>65</v>
      </c>
      <c r="C19" t="s">
        <v>19</v>
      </c>
      <c r="D19" t="s">
        <v>44</v>
      </c>
      <c r="E19" t="s">
        <v>21</v>
      </c>
      <c r="F19">
        <v>4</v>
      </c>
      <c r="G19" s="3">
        <v>2000</v>
      </c>
      <c r="H19" s="3">
        <v>8000</v>
      </c>
      <c r="I19" t="s">
        <v>22</v>
      </c>
      <c r="J19" t="s">
        <v>23</v>
      </c>
      <c r="K19" t="str">
        <f t="shared" si="0"/>
        <v>Apr</v>
      </c>
    </row>
    <row r="20" spans="1:11" x14ac:dyDescent="0.3">
      <c r="A20" t="s">
        <v>66</v>
      </c>
      <c r="B20" s="2" t="s">
        <v>67</v>
      </c>
      <c r="C20" t="s">
        <v>26</v>
      </c>
      <c r="D20" t="s">
        <v>38</v>
      </c>
      <c r="E20" t="s">
        <v>39</v>
      </c>
      <c r="F20">
        <v>2</v>
      </c>
      <c r="G20" s="3">
        <v>4800</v>
      </c>
      <c r="H20" s="3">
        <v>9600</v>
      </c>
      <c r="I20" t="s">
        <v>15</v>
      </c>
      <c r="J20" t="s">
        <v>32</v>
      </c>
      <c r="K20" t="str">
        <f t="shared" si="0"/>
        <v>May</v>
      </c>
    </row>
    <row r="21" spans="1:11" x14ac:dyDescent="0.3">
      <c r="A21" t="s">
        <v>68</v>
      </c>
      <c r="B21" s="2" t="s">
        <v>69</v>
      </c>
      <c r="C21" t="s">
        <v>30</v>
      </c>
      <c r="D21" t="s">
        <v>31</v>
      </c>
      <c r="E21" t="s">
        <v>21</v>
      </c>
      <c r="F21">
        <v>6</v>
      </c>
      <c r="G21" s="3">
        <v>2600</v>
      </c>
      <c r="H21" s="3">
        <v>15600</v>
      </c>
      <c r="I21" t="s">
        <v>22</v>
      </c>
      <c r="J21" t="s">
        <v>16</v>
      </c>
      <c r="K21" t="str">
        <f t="shared" si="0"/>
        <v>May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44C7-482B-41FC-BCEA-23B6CBA8C3BF}">
  <dimension ref="A1:R52"/>
  <sheetViews>
    <sheetView showGridLines="0" tabSelected="1" zoomScale="90" zoomScaleNormal="90" workbookViewId="0">
      <selection activeCell="Y9" sqref="Y9"/>
    </sheetView>
  </sheetViews>
  <sheetFormatPr defaultRowHeight="14.4" x14ac:dyDescent="0.3"/>
  <sheetData>
    <row r="1" spans="1:18" ht="14.4" customHeight="1" x14ac:dyDescent="0.3">
      <c r="A1" s="12" t="s">
        <v>79</v>
      </c>
      <c r="B1" s="12"/>
      <c r="C1" s="12"/>
      <c r="D1" s="12"/>
      <c r="E1" s="12"/>
      <c r="F1" s="12"/>
      <c r="G1" s="12"/>
      <c r="H1" s="12"/>
      <c r="I1" s="12"/>
      <c r="J1" s="12"/>
      <c r="K1" s="12"/>
      <c r="L1" s="12"/>
      <c r="M1" s="12"/>
      <c r="N1" s="12"/>
      <c r="O1" s="12"/>
      <c r="P1" s="12"/>
      <c r="Q1" s="12"/>
      <c r="R1" s="9"/>
    </row>
    <row r="2" spans="1:18" ht="14.4" customHeight="1" x14ac:dyDescent="0.3">
      <c r="A2" s="12"/>
      <c r="B2" s="12"/>
      <c r="C2" s="12"/>
      <c r="D2" s="12"/>
      <c r="E2" s="12"/>
      <c r="F2" s="12"/>
      <c r="G2" s="12"/>
      <c r="H2" s="12"/>
      <c r="I2" s="12"/>
      <c r="J2" s="12"/>
      <c r="K2" s="12"/>
      <c r="L2" s="12"/>
      <c r="M2" s="12"/>
      <c r="N2" s="12"/>
      <c r="O2" s="12"/>
      <c r="P2" s="12"/>
      <c r="Q2" s="12"/>
      <c r="R2" s="9"/>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ht="14.4" customHeight="1" x14ac:dyDescent="0.3">
      <c r="A5" s="13" t="s">
        <v>80</v>
      </c>
      <c r="B5" s="14"/>
      <c r="C5" s="14"/>
      <c r="D5" s="17" t="s">
        <v>81</v>
      </c>
      <c r="E5" s="18"/>
      <c r="F5" s="18"/>
      <c r="G5" s="20" t="s">
        <v>82</v>
      </c>
      <c r="H5" s="20"/>
      <c r="I5" s="10" t="s">
        <v>83</v>
      </c>
      <c r="J5" s="10"/>
      <c r="K5" s="7"/>
      <c r="L5" s="7"/>
      <c r="M5" s="7"/>
      <c r="N5" s="7"/>
      <c r="O5" s="7"/>
      <c r="P5" s="7"/>
      <c r="Q5" s="7"/>
      <c r="R5" s="7"/>
    </row>
    <row r="6" spans="1:18" x14ac:dyDescent="0.3">
      <c r="A6" s="15">
        <f>SUM(SalesData[Sales])</f>
        <v>585800</v>
      </c>
      <c r="B6" s="16"/>
      <c r="C6" s="16"/>
      <c r="D6" s="19">
        <f>COUNTA(SalesData[Order ID])</f>
        <v>20</v>
      </c>
      <c r="E6" s="19"/>
      <c r="F6" s="19"/>
      <c r="G6" s="21">
        <f>SUM(SalesData[Quantity])</f>
        <v>72</v>
      </c>
      <c r="H6" s="21"/>
      <c r="I6" s="11">
        <f>AVERAGE(SalesData[Sales])</f>
        <v>29290</v>
      </c>
      <c r="J6" s="11"/>
      <c r="K6" s="7"/>
      <c r="L6" s="7"/>
      <c r="M6" s="7"/>
      <c r="N6" s="7"/>
      <c r="O6" s="7"/>
      <c r="P6" s="7"/>
      <c r="Q6" s="7"/>
      <c r="R6" s="7"/>
    </row>
    <row r="7" spans="1:18" x14ac:dyDescent="0.3">
      <c r="A7" s="16"/>
      <c r="B7" s="16"/>
      <c r="C7" s="16"/>
      <c r="D7" s="19"/>
      <c r="E7" s="19"/>
      <c r="F7" s="19"/>
      <c r="G7" s="21"/>
      <c r="H7" s="21"/>
      <c r="I7" s="11"/>
      <c r="J7" s="11"/>
      <c r="K7" s="7"/>
      <c r="L7" s="7"/>
      <c r="M7" s="7"/>
      <c r="N7" s="7"/>
      <c r="O7" s="7"/>
      <c r="P7" s="7"/>
      <c r="Q7" s="7"/>
      <c r="R7" s="7"/>
    </row>
    <row r="8" spans="1:18" x14ac:dyDescent="0.3">
      <c r="A8" s="7"/>
      <c r="B8" s="7"/>
      <c r="C8" s="7"/>
      <c r="D8" s="7"/>
      <c r="E8" s="7"/>
      <c r="F8" s="7"/>
      <c r="G8" s="8"/>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sheetData>
  <mergeCells count="9">
    <mergeCell ref="I5:J5"/>
    <mergeCell ref="I6:J7"/>
    <mergeCell ref="A1:Q2"/>
    <mergeCell ref="A5:C5"/>
    <mergeCell ref="A6:C7"/>
    <mergeCell ref="D5:F5"/>
    <mergeCell ref="D6:F7"/>
    <mergeCell ref="G5:H5"/>
    <mergeCell ref="G6: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Niharika Negi</dc:creator>
  <cp:lastModifiedBy>niharika negi</cp:lastModifiedBy>
  <dcterms:created xsi:type="dcterms:W3CDTF">2026-09-15T08:49:42Z</dcterms:created>
  <dcterms:modified xsi:type="dcterms:W3CDTF">2026-09-18T05:57:56Z</dcterms:modified>
</cp:coreProperties>
</file>