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ivot Analysis" sheetId="2" state="visible" r:id="rId2"/>
    <sheet xmlns:r="http://schemas.openxmlformats.org/officeDocument/2006/relationships" name="Pivot Chart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'Sales Data'!$A$1:$H$13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3E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6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Chart'!$A$4:$A$7</f>
            </numRef>
          </cat>
          <val>
            <numRef>
              <f>'Pivot Chart'!$B$4:$B$7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5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t="n">
        <v>1001</v>
      </c>
      <c r="B2" s="2" t="n">
        <v>46266</v>
      </c>
      <c r="C2" t="inlineStr">
        <is>
          <t>North</t>
        </is>
      </c>
      <c r="D2" t="inlineStr">
        <is>
          <t>Aman</t>
        </is>
      </c>
      <c r="E2" t="inlineStr">
        <is>
          <t>Laptop</t>
        </is>
      </c>
      <c r="F2" t="inlineStr">
        <is>
          <t>Electronics</t>
        </is>
      </c>
      <c r="G2" t="n">
        <v>2</v>
      </c>
      <c r="H2" s="3" t="n">
        <v>90000</v>
      </c>
    </row>
    <row r="3">
      <c r="A3" t="n">
        <v>1002</v>
      </c>
      <c r="B3" s="2" t="n">
        <v>46267</v>
      </c>
      <c r="C3" t="inlineStr">
        <is>
          <t>South</t>
        </is>
      </c>
      <c r="D3" t="inlineStr">
        <is>
          <t>Neha</t>
        </is>
      </c>
      <c r="E3" t="inlineStr">
        <is>
          <t>Mouse</t>
        </is>
      </c>
      <c r="F3" t="inlineStr">
        <is>
          <t>Accessories</t>
        </is>
      </c>
      <c r="G3" t="n">
        <v>5</v>
      </c>
      <c r="H3" s="3" t="n">
        <v>5000</v>
      </c>
    </row>
    <row r="4">
      <c r="A4" t="n">
        <v>1003</v>
      </c>
      <c r="B4" s="2" t="n">
        <v>46268</v>
      </c>
      <c r="C4" t="inlineStr">
        <is>
          <t>North</t>
        </is>
      </c>
      <c r="D4" t="inlineStr">
        <is>
          <t>Riya</t>
        </is>
      </c>
      <c r="E4" t="inlineStr">
        <is>
          <t>Keyboard</t>
        </is>
      </c>
      <c r="F4" t="inlineStr">
        <is>
          <t>Accessories</t>
        </is>
      </c>
      <c r="G4" t="n">
        <v>4</v>
      </c>
      <c r="H4" s="3" t="n">
        <v>6000</v>
      </c>
    </row>
    <row r="5">
      <c r="A5" t="n">
        <v>1004</v>
      </c>
      <c r="B5" s="2" t="n">
        <v>46269</v>
      </c>
      <c r="C5" t="inlineStr">
        <is>
          <t>East</t>
        </is>
      </c>
      <c r="D5" t="inlineStr">
        <is>
          <t>Aman</t>
        </is>
      </c>
      <c r="E5" t="inlineStr">
        <is>
          <t>Monitor</t>
        </is>
      </c>
      <c r="F5" t="inlineStr">
        <is>
          <t>Electronics</t>
        </is>
      </c>
      <c r="G5" t="n">
        <v>3</v>
      </c>
      <c r="H5" s="3" t="n">
        <v>45000</v>
      </c>
    </row>
    <row r="6">
      <c r="A6" t="n">
        <v>1005</v>
      </c>
      <c r="B6" s="2" t="n">
        <v>46270</v>
      </c>
      <c r="C6" t="inlineStr">
        <is>
          <t>West</t>
        </is>
      </c>
      <c r="D6" t="inlineStr">
        <is>
          <t>Karan</t>
        </is>
      </c>
      <c r="E6" t="inlineStr">
        <is>
          <t>Laptop</t>
        </is>
      </c>
      <c r="F6" t="inlineStr">
        <is>
          <t>Electronics</t>
        </is>
      </c>
      <c r="G6" t="n">
        <v>1</v>
      </c>
      <c r="H6" s="3" t="n">
        <v>45000</v>
      </c>
    </row>
    <row r="7">
      <c r="A7" t="n">
        <v>1006</v>
      </c>
      <c r="B7" s="2" t="n">
        <v>46271</v>
      </c>
      <c r="C7" t="inlineStr">
        <is>
          <t>South</t>
        </is>
      </c>
      <c r="D7" t="inlineStr">
        <is>
          <t>Neha</t>
        </is>
      </c>
      <c r="E7" t="inlineStr">
        <is>
          <t>Monitor</t>
        </is>
      </c>
      <c r="F7" t="inlineStr">
        <is>
          <t>Electronics</t>
        </is>
      </c>
      <c r="G7" t="n">
        <v>2</v>
      </c>
      <c r="H7" s="3" t="n">
        <v>30000</v>
      </c>
    </row>
    <row r="8">
      <c r="A8" t="n">
        <v>1007</v>
      </c>
      <c r="B8" s="2" t="n">
        <v>46272</v>
      </c>
      <c r="C8" t="inlineStr">
        <is>
          <t>East</t>
        </is>
      </c>
      <c r="D8" t="inlineStr">
        <is>
          <t>Riya</t>
        </is>
      </c>
      <c r="E8" t="inlineStr">
        <is>
          <t>Mouse</t>
        </is>
      </c>
      <c r="F8" t="inlineStr">
        <is>
          <t>Accessories</t>
        </is>
      </c>
      <c r="G8" t="n">
        <v>8</v>
      </c>
      <c r="H8" s="3" t="n">
        <v>8000</v>
      </c>
    </row>
    <row r="9">
      <c r="A9" t="n">
        <v>1008</v>
      </c>
      <c r="B9" s="2" t="n">
        <v>46273</v>
      </c>
      <c r="C9" t="inlineStr">
        <is>
          <t>North</t>
        </is>
      </c>
      <c r="D9" t="inlineStr">
        <is>
          <t>Aman</t>
        </is>
      </c>
      <c r="E9" t="inlineStr">
        <is>
          <t>Keyboard</t>
        </is>
      </c>
      <c r="F9" t="inlineStr">
        <is>
          <t>Accessories</t>
        </is>
      </c>
      <c r="G9" t="n">
        <v>6</v>
      </c>
      <c r="H9" s="3" t="n">
        <v>9000</v>
      </c>
    </row>
    <row r="10">
      <c r="A10" t="n">
        <v>1009</v>
      </c>
      <c r="B10" s="2" t="n">
        <v>46274</v>
      </c>
      <c r="C10" t="inlineStr">
        <is>
          <t>West</t>
        </is>
      </c>
      <c r="D10" t="inlineStr">
        <is>
          <t>Karan</t>
        </is>
      </c>
      <c r="E10" t="inlineStr">
        <is>
          <t>Monitor</t>
        </is>
      </c>
      <c r="F10" t="inlineStr">
        <is>
          <t>Electronics</t>
        </is>
      </c>
      <c r="G10" t="n">
        <v>2</v>
      </c>
      <c r="H10" s="3" t="n">
        <v>30000</v>
      </c>
    </row>
    <row r="11">
      <c r="A11" t="n">
        <v>1010</v>
      </c>
      <c r="B11" s="2" t="n">
        <v>46275</v>
      </c>
      <c r="C11" t="inlineStr">
        <is>
          <t>South</t>
        </is>
      </c>
      <c r="D11" t="inlineStr">
        <is>
          <t>Neha</t>
        </is>
      </c>
      <c r="E11" t="inlineStr">
        <is>
          <t>Laptop</t>
        </is>
      </c>
      <c r="F11" t="inlineStr">
        <is>
          <t>Electronics</t>
        </is>
      </c>
      <c r="G11" t="n">
        <v>1</v>
      </c>
      <c r="H11" s="3" t="n">
        <v>45000</v>
      </c>
    </row>
    <row r="12">
      <c r="A12" t="n">
        <v>1011</v>
      </c>
      <c r="B12" s="2" t="n">
        <v>46276</v>
      </c>
      <c r="C12" t="inlineStr">
        <is>
          <t>East</t>
        </is>
      </c>
      <c r="D12" t="inlineStr">
        <is>
          <t>Riya</t>
        </is>
      </c>
      <c r="E12" t="inlineStr">
        <is>
          <t>Keyboard</t>
        </is>
      </c>
      <c r="F12" t="inlineStr">
        <is>
          <t>Accessories</t>
        </is>
      </c>
      <c r="G12" t="n">
        <v>3</v>
      </c>
      <c r="H12" s="3" t="n">
        <v>4500</v>
      </c>
    </row>
    <row r="13">
      <c r="A13" t="n">
        <v>1012</v>
      </c>
      <c r="B13" s="2" t="n">
        <v>46277</v>
      </c>
      <c r="C13" t="inlineStr">
        <is>
          <t>North</t>
        </is>
      </c>
      <c r="D13" t="inlineStr">
        <is>
          <t>Aman</t>
        </is>
      </c>
      <c r="E13" t="inlineStr">
        <is>
          <t>Mouse</t>
        </is>
      </c>
      <c r="F13" t="inlineStr">
        <is>
          <t>Accessories</t>
        </is>
      </c>
      <c r="G13" t="n">
        <v>7</v>
      </c>
      <c r="H13" s="3" t="n">
        <v>7000</v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4" customWidth="1" min="4" max="4"/>
    <col width="28" customWidth="1" min="5" max="5"/>
    <col width="24" customWidth="1" min="6" max="6"/>
  </cols>
  <sheetData>
    <row r="1">
      <c r="A1" s="4" t="inlineStr">
        <is>
          <t>Pivot Table Practical – Sales Analysis</t>
        </is>
      </c>
    </row>
    <row r="3">
      <c r="A3" s="5" t="inlineStr">
        <is>
          <t>Analysis 1: Total Sales by Region</t>
        </is>
      </c>
      <c r="E3" s="5" t="inlineStr">
        <is>
          <t>Pivot Table Setup</t>
        </is>
      </c>
    </row>
    <row r="5">
      <c r="A5" s="6" t="inlineStr">
        <is>
          <t>Region</t>
        </is>
      </c>
      <c r="B5" s="6" t="inlineStr">
        <is>
          <t>Total Sales</t>
        </is>
      </c>
      <c r="C5" s="6" t="inlineStr">
        <is>
          <t>Number of Orders</t>
        </is>
      </c>
      <c r="D5" s="6" t="n"/>
      <c r="E5" s="6" t="inlineStr">
        <is>
          <t>Rows</t>
        </is>
      </c>
      <c r="F5" s="6" t="inlineStr">
        <is>
          <t>Region</t>
        </is>
      </c>
    </row>
    <row r="6">
      <c r="A6" t="inlineStr">
        <is>
          <t>North</t>
        </is>
      </c>
      <c r="B6" s="3">
        <f>SUMIF('Sales Data'!$C$2:$C$13,A6,'Sales Data'!$H$2:$H$13)</f>
        <v/>
      </c>
      <c r="C6">
        <f>COUNTIF('Sales Data'!$C$2:$C$13,A6)</f>
        <v/>
      </c>
      <c r="E6" t="inlineStr">
        <is>
          <t>Values</t>
        </is>
      </c>
      <c r="F6" t="inlineStr">
        <is>
          <t>Sum of Sales</t>
        </is>
      </c>
    </row>
    <row r="7">
      <c r="A7" t="inlineStr">
        <is>
          <t>South</t>
        </is>
      </c>
      <c r="B7" s="3">
        <f>SUMIF('Sales Data'!$C$2:$C$13,A7,'Sales Data'!$H$2:$H$13)</f>
        <v/>
      </c>
      <c r="C7">
        <f>COUNTIF('Sales Data'!$C$2:$C$13,A7)</f>
        <v/>
      </c>
      <c r="E7" t="inlineStr">
        <is>
          <t>Values</t>
        </is>
      </c>
      <c r="F7" t="inlineStr">
        <is>
          <t>Count of Order ID</t>
        </is>
      </c>
    </row>
    <row r="8">
      <c r="A8" t="inlineStr">
        <is>
          <t>East</t>
        </is>
      </c>
      <c r="B8" s="3">
        <f>SUMIF('Sales Data'!$C$2:$C$13,A8,'Sales Data'!$H$2:$H$13)</f>
        <v/>
      </c>
      <c r="C8">
        <f>COUNTIF('Sales Data'!$C$2:$C$13,A8)</f>
        <v/>
      </c>
      <c r="E8" t="inlineStr">
        <is>
          <t>Filter (optional)</t>
        </is>
      </c>
      <c r="F8" t="inlineStr">
        <is>
          <t>Category</t>
        </is>
      </c>
    </row>
    <row r="9">
      <c r="A9" t="inlineStr">
        <is>
          <t>West</t>
        </is>
      </c>
      <c r="B9" s="3">
        <f>SUMIF('Sales Data'!$C$2:$C$13,A9,'Sales Data'!$H$2:$H$13)</f>
        <v/>
      </c>
      <c r="C9">
        <f>COUNTIF('Sales Data'!$C$2:$C$13,A9)</f>
        <v/>
      </c>
    </row>
    <row r="11">
      <c r="A11" s="7" t="inlineStr">
        <is>
          <t>Grand Total</t>
        </is>
      </c>
      <c r="B11" s="8">
        <f>SUM(B6:B9)</f>
        <v/>
      </c>
      <c r="C11" s="7">
        <f>SUM(C6:C9)</f>
        <v/>
      </c>
      <c r="D11" s="7" t="n"/>
      <c r="E11" s="7" t="inlineStr">
        <is>
          <t>How to create in Excel</t>
        </is>
      </c>
      <c r="F11" s="7" t="n"/>
    </row>
    <row r="12">
      <c r="E12" t="inlineStr">
        <is>
          <t>1. Select the Sales Data table.</t>
        </is>
      </c>
    </row>
    <row r="13">
      <c r="E13" t="inlineStr">
        <is>
          <t>2. Go to Insert → PivotTable.</t>
        </is>
      </c>
    </row>
    <row r="14">
      <c r="A14" s="5" t="inlineStr">
        <is>
          <t>Analysis 2: Sales by Category</t>
        </is>
      </c>
      <c r="E14" t="inlineStr">
        <is>
          <t>3. Put Region in Rows.</t>
        </is>
      </c>
    </row>
    <row r="15">
      <c r="E15" t="inlineStr">
        <is>
          <t>4. Put Sales in Values and keep it as Sum.</t>
        </is>
      </c>
    </row>
    <row r="16">
      <c r="A16" s="6" t="inlineStr">
        <is>
          <t>Category</t>
        </is>
      </c>
      <c r="B16" s="6" t="inlineStr">
        <is>
          <t>Total Sales</t>
        </is>
      </c>
      <c r="C16" s="6" t="inlineStr">
        <is>
          <t>Quantity Sold</t>
        </is>
      </c>
      <c r="D16" s="6" t="n"/>
      <c r="E16" s="6" t="inlineStr">
        <is>
          <t>5. Put Order ID in Values and set it to Count.</t>
        </is>
      </c>
      <c r="F16" s="6" t="n"/>
    </row>
    <row r="17">
      <c r="A17" t="inlineStr">
        <is>
          <t>Electronics</t>
        </is>
      </c>
      <c r="B17" s="3">
        <f>SUMIF('Sales Data'!$F$2:$F$13,A17,'Sales Data'!$H$2:$H$13)</f>
        <v/>
      </c>
      <c r="C17">
        <f>SUMIF('Sales Data'!$F$2:$F$13,A17,'Sales Data'!$G$2:$G$13)</f>
        <v/>
      </c>
      <c r="E17" t="inlineStr">
        <is>
          <t>6. Use Category as a Filter if required.</t>
        </is>
      </c>
    </row>
    <row r="18">
      <c r="A18" t="inlineStr">
        <is>
          <t>Accessories</t>
        </is>
      </c>
      <c r="B18" s="3">
        <f>SUMIF('Sales Data'!$F$2:$F$13,A18,'Sales Data'!$H$2:$H$13)</f>
        <v/>
      </c>
      <c r="C18">
        <f>SUMIF('Sales Data'!$F$2:$F$13,A18,'Sales Data'!$G$2:$G$13)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4" t="inlineStr">
        <is>
          <t>Sales by Region – Pivot Analysis</t>
        </is>
      </c>
    </row>
    <row r="3">
      <c r="A3" s="6" t="inlineStr">
        <is>
          <t>Region</t>
        </is>
      </c>
      <c r="B3" s="6" t="inlineStr">
        <is>
          <t>Total Sales</t>
        </is>
      </c>
    </row>
    <row r="4">
      <c r="A4" t="inlineStr">
        <is>
          <t>North</t>
        </is>
      </c>
      <c r="B4" s="3">
        <f>'Pivot Analysis'!B6</f>
        <v/>
      </c>
    </row>
    <row r="5">
      <c r="A5" t="inlineStr">
        <is>
          <t>South</t>
        </is>
      </c>
      <c r="B5" s="3">
        <f>'Pivot Analysis'!B7</f>
        <v/>
      </c>
    </row>
    <row r="6">
      <c r="A6" t="inlineStr">
        <is>
          <t>East</t>
        </is>
      </c>
      <c r="B6" s="3">
        <f>'Pivot Analysis'!B8</f>
        <v/>
      </c>
    </row>
    <row r="7">
      <c r="A7" t="inlineStr">
        <is>
          <t>West</t>
        </is>
      </c>
      <c r="B7" s="3">
        <f>'Pivot Analysis'!B9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Day 14 – Pivot Tables</t>
        </is>
      </c>
    </row>
    <row r="3">
      <c r="A3" s="5" t="inlineStr">
        <is>
          <t>What I practiced</t>
        </is>
      </c>
    </row>
    <row r="4">
      <c r="A4" t="inlineStr">
        <is>
          <t>• Summarizing sales data by Region</t>
        </is>
      </c>
    </row>
    <row r="5">
      <c r="A5" t="inlineStr">
        <is>
          <t>• Calculating Sum of Sales and Count of Orders</t>
        </is>
      </c>
    </row>
    <row r="6">
      <c r="A6" t="inlineStr">
        <is>
          <t>• Summarizing sales by Category</t>
        </is>
      </c>
    </row>
    <row r="7">
      <c r="A7" t="inlineStr">
        <is>
          <t>• Creating a Pivot Chart</t>
        </is>
      </c>
    </row>
    <row r="9">
      <c r="A9" t="inlineStr">
        <is>
          <t>Note: The Pivot Analysis sheet shows the expected PivotTable-style result and the exact Excel steps used to create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2026-09-21T17:11:05Z</dcterms:created>
  <dcterms:modified xmlns:dcterms="http://purl.org/dc/terms/" xmlns:xsi="http://www.w3.org/2001/XMLSchema-instance" xsi:type="dcterms:W3CDTF">2026-09-21T17:11:05Z</dcterms:modified>
</cp:coreProperties>
</file>